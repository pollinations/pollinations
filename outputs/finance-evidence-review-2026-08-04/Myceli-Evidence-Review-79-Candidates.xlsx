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f8176e287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236a61ebffc490e"/>
    <x:sheet xmlns:r="http://schemas.openxmlformats.org/officeDocument/2006/relationships" name="Review Queue" sheetId="2" r:id="Rdb23772f252b4a3d"/>
    <x:sheet xmlns:r="http://schemas.openxmlformats.org/officeDocument/2006/relationships" name="Source Data" sheetId="3" r:id="R67afb8c7a36d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0"/>
    <x:numFmt numFmtId="203" formatCode="#,##0.00;[Red](#,##0.00)"/>
  </x:numFmts>
  <x:fonts count="16">
    <x:font>
      <x:sz val="11"/>
      <x:name val="Carlito"/>
    </x:font>
    <x:font>
      <x:b/>
      <x:sz val="16"/>
      <x:color rgb="FF1F2937"/>
      <x:name val="Carlito"/>
    </x:font>
    <x:font>
      <x:i/>
      <x:sz val="11"/>
      <x:color rgb="FF4B5563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sz val="11"/>
      <x:color rgb="FF78350F"/>
      <x:name val="Carlito"/>
    </x:font>
    <x:font>
      <x:b/>
      <x:sz val="16"/>
      <x:color rgb="FF1F2937"/>
      <x:name val="Arial"/>
    </x:font>
    <x:font>
      <x:i/>
      <x:sz val="11"/>
      <x:color rgb="FF4B5563"/>
      <x:name val="Arial"/>
    </x:font>
    <x:font>
      <x:sz val="11"/>
      <x:name val="Arial"/>
    </x:font>
    <x:font>
      <x:b/>
      <x:sz val="11"/>
      <x:color rgb="FF111827"/>
      <x:name val="Arial"/>
    </x:font>
    <x:font>
      <x:b/>
      <x:sz val="11"/>
      <x:name val="Arial"/>
    </x:font>
    <x:font>
      <x:sz val="11"/>
      <x:color rgb="FF78350F"/>
      <x:name val="Arial"/>
    </x:font>
    <x:font>
      <x:sz val="11"/>
      <x:color rgb="FF4B5563"/>
      <x:name val="Carlito"/>
    </x:font>
    <x:font>
      <x:sz val="10"/>
      <x:name val="Arial"/>
    </x:font>
    <x:font>
      <x:b/>
      <x:sz val="9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9FAFB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top"/>
    </x:xf>
    <x:xf numFmtId="201" fontId="13" fillId="0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4" fillId="3" borderId="0" xfId="0" applyNumberFormat="1" applyFont="1" applyFill="1" applyBorder="1"/>
    <x:xf numFmtId="0" fontId="15" fillId="0" borderId="0" xfId="0" applyNumberFormat="1" applyFont="1" applyFill="1" applyBorder="1"/>
    <x:xf numFmtId="201" fontId="15" fillId="0" borderId="0" xfId="0" applyNumberFormat="1" applyFont="1" applyFill="1" applyBorder="1"/>
    <x:xf numFmtId="202" fontId="15" fillId="0" borderId="0" xfId="0" applyNumberFormat="1" applyFont="1" applyFill="1" applyBorder="1"/>
    <x:xf numFmtId="203" fontId="15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62cf1b60b41ff" /><Relationship Type="http://schemas.openxmlformats.org/officeDocument/2006/relationships/theme" Target="/xl/theme/theme1.xml" Id="R7059c7d464a140e6" /><Relationship Type="http://schemas.openxmlformats.org/officeDocument/2006/relationships/sharedStrings" Target="/xl/sharedStrings.xml" Id="R9ba4e36184514d85" /><Relationship Type="http://schemas.openxmlformats.org/officeDocument/2006/relationships/worksheet" Target="/xl/worksheets/sheet1.xml" Id="R5236a61ebffc490e" /><Relationship Type="http://schemas.openxmlformats.org/officeDocument/2006/relationships/worksheet" Target="/xl/worksheets/sheet2.xml" Id="Rdb23772f252b4a3d" /><Relationship Type="http://schemas.openxmlformats.org/officeDocument/2006/relationships/worksheet" Target="/xl/worksheets/sheet3.xml" Id="R67afb8c7a36d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5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16" t="str">
        <x:v>Myceli evidence review — 79 Drive candidates</x:v>
      </x:c>
      <x:c r="B1" s="16"/>
      <x:c r="C1" s="16"/>
      <x:c r="D1" s="16"/>
      <x:c r="E1" s="16"/>
      <x:c r="F1" s="16"/>
    </x:row>
    <x:row r="2">
      <x:c r="A2" s="17" t="str">
        <x:v>Prepared 4 August 2026 · Myceli.AI OÜ · no Tinybird changes made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Review status</x:v>
      </x:c>
      <x:c r="B4" s="19" t="str">
        <x:v>Count</x:v>
      </x:c>
      <x:c r="C4" s="18"/>
      <x:c r="D4" s="19" t="str">
        <x:v>How to review</x:v>
      </x:c>
      <x:c r="E4" s="19" t="str"/>
      <x:c r="F4" s="19" t="str"/>
    </x:row>
    <x:row r="5">
      <x:c r="A5" s="18" t="str">
        <x:v>Total candidates</x:v>
      </x:c>
      <x:c r="B5" s="20" t="n">
        <x:f>COUNTA('Review Queue'!$C$6:$C$84)</x:f>
        <x:v>79</x:v>
      </x:c>
      <x:c r="C5" s="18"/>
      <x:c r="D5" s="21" t="str">
        <x:v>1. Open Review Queue.
2. Filter by review type or vendor.
3. Click Open document.
4. Compare invoice and transaction.
5. Choose a decision and add a note only when needed.</x:v>
      </x:c>
      <x:c r="E5" s="21"/>
      <x:c r="F5" s="21"/>
    </x:row>
    <x:row r="6">
      <x:c r="A6" s="18" t="str">
        <x:v>Needs review</x:v>
      </x:c>
      <x:c r="B6" s="20" t="n">
        <x:f>COUNTIF('Review Queue'!$A$6:$A$84,"Needs review")</x:f>
        <x:v>79</x:v>
      </x:c>
      <x:c r="C6" s="18"/>
      <x:c r="D6" s="21"/>
      <x:c r="E6" s="21"/>
      <x:c r="F6" s="21"/>
    </x:row>
    <x:row r="7">
      <x:c r="A7" s="18" t="str">
        <x:v>Confirmed</x:v>
      </x:c>
      <x:c r="B7" s="20" t="n">
        <x:f>COUNTIF('Review Queue'!$A$6:$A$84,"Confirmed")</x:f>
        <x:v>0</x:v>
      </x:c>
      <x:c r="C7" s="18"/>
      <x:c r="D7" s="21"/>
      <x:c r="E7" s="21"/>
      <x:c r="F7" s="21"/>
    </x:row>
    <x:row r="8">
      <x:c r="A8" s="18" t="str">
        <x:v>Rejected / folder</x:v>
      </x:c>
      <x:c r="B8" s="20" t="n">
        <x:f>COUNTIF('Review Queue'!$A$6:$A$84,"Rejected")+COUNTIF('Review Queue'!$A$6:$A$84,"Use folder")</x:f>
        <x:v>0</x:v>
      </x:c>
      <x:c r="C8" s="18"/>
      <x:c r="D8" s="21"/>
      <x:c r="E8" s="21"/>
      <x:c r="F8" s="21"/>
    </x:row>
    <x:row r="9">
      <x:c r="A9" s="18" t="str">
        <x:v>Already has legacy evidence</x:v>
      </x:c>
      <x:c r="B9" s="18" t="n">
        <x:f>COUNTIF('Source Data'!$Q$2:$Q$80,"&lt;&gt;")</x:f>
        <x:v>11</x:v>
      </x:c>
      <x:c r="C9" s="18"/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  <x:row r="11">
      <x:c r="A11" s="22" t="str">
        <x:v>Review type</x:v>
      </x:c>
      <x:c r="B11" s="22" t="str">
        <x:v>Candidates</x:v>
      </x:c>
      <x:c r="C11" s="22" t="str">
        <x:v>What to do</x:v>
      </x:c>
      <x:c r="D11" s="18"/>
      <x:c r="E11" s="18"/>
      <x:c r="F11" s="18"/>
    </x:row>
    <x:row r="12">
      <x:c r="A12" s="23" t="str">
        <x:v>Likely FX conversion</x:v>
      </x:c>
      <x:c r="B12" s="24" t="n">
        <x:v>34</x:v>
      </x:c>
      <x:c r="C12" s="23" t="str">
        <x:v>Confirm the original card amount and currency in Wise.</x:v>
      </x:c>
      <x:c r="D12" s="18"/>
      <x:c r="E12" s="18"/>
      <x:c r="F12" s="18"/>
    </x:row>
    <x:row r="13">
      <x:c r="A13" s="23" t="str">
        <x:v>Bundle or amount differs</x:v>
      </x:c>
      <x:c r="B13" s="24" t="n">
        <x:v>24</x:v>
      </x:c>
      <x:c r="C13" s="23" t="str">
        <x:v>Check whether this is one component, a fee, or the wrong candidate.</x:v>
      </x:c>
      <x:c r="D13" s="18"/>
      <x:c r="E13" s="18"/>
      <x:c r="F13" s="18"/>
    </x:row>
    <x:row r="14">
      <x:c r="A14" s="23" t="str">
        <x:v>Exact amount · check period</x:v>
      </x:c>
      <x:c r="B14" s="24" t="n">
        <x:v>14</x:v>
      </x:c>
      <x:c r="C14" s="23" t="str">
        <x:v>Amount matches; confirm the service period and payment timing.</x:v>
      </x:c>
      <x:c r="D14" s="18"/>
      <x:c r="E14" s="18"/>
      <x:c r="F14" s="18"/>
    </x:row>
    <x:row r="15">
      <x:c r="A15" s="23" t="str">
        <x:v>Close amount</x:v>
      </x:c>
      <x:c r="B15" s="24" t="n">
        <x:v>7</x:v>
      </x:c>
      <x:c r="C15" s="23" t="str">
        <x:v>Check tax, fees, or the exchange-rate difference.</x:v>
      </x:c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25" t="str">
        <x:v>Important: these are candidates, not approved links. OCR and matching can propose the relationship, but aggregated payments and reimbursements still need a human confirmation before we update the ledger.</x:v>
      </x:c>
      <x:c r="B20" s="25"/>
      <x:c r="C20" s="25"/>
      <x:c r="D20" s="25"/>
      <x:c r="E20" s="25"/>
      <x:c r="F20" s="25"/>
    </x:row>
    <x:row r="21">
      <x:c r="A21" s="25"/>
      <x:c r="B21" s="25"/>
      <x:c r="C21" s="25"/>
      <x:c r="D21" s="25"/>
      <x:c r="E21" s="25"/>
      <x:c r="F21" s="25"/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2" hidden="0" customWidth="1"/>
    <x:col min="4" max="4" width="14" hidden="0" customWidth="1"/>
    <x:col min="5" max="5" width="18" hidden="0" customWidth="1"/>
    <x:col min="6" max="6" width="15" hidden="0" customWidth="1"/>
    <x:col min="7" max="7" width="15" hidden="0" customWidth="1"/>
    <x:col min="8" max="8" width="17" hidden="0" customWidth="1"/>
    <x:col min="9" max="9" width="30" hidden="0" customWidth="1"/>
    <x:col min="10" max="10" width="42" hidden="0" customWidth="1"/>
    <x:col min="11" max="11" width="38" hidden="0" customWidth="1"/>
    <x:col min="12" max="12" width="34" hidden="0" customWidth="1"/>
  </x:cols>
  <x:sheetData>
    <x:row r="1" ht="32" customHeight="1">
      <x:c r="A1" s="3" t="str">
        <x:v>Review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7" t="str">
        <x:v>Each row is one proposed Drive document → transaction match. Start with exact and FX rows; leave bundles for a second pass.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9" t="str">
        <x:v>Decision options: Needs review · Confirmed · Rejected · Use folder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5" ht="32" customHeight="1">
      <x:c r="A5" s="31" t="str">
        <x:v>Decision</x:v>
      </x:c>
      <x:c r="B5" s="31" t="str">
        <x:v>Review type</x:v>
      </x:c>
      <x:c r="C5" s="31" t="str">
        <x:v>Vendor</x:v>
      </x:c>
      <x:c r="D5" s="31" t="str">
        <x:v>Invoice date</x:v>
      </x:c>
      <x:c r="E5" s="31" t="str">
        <x:v>Invoice #</x:v>
      </x:c>
      <x:c r="F5" s="31" t="str">
        <x:v>Invoice total</x:v>
      </x:c>
      <x:c r="G5" s="31" t="str">
        <x:v>Transaction date</x:v>
      </x:c>
      <x:c r="H5" s="31" t="str">
        <x:v>Transaction total</x:v>
      </x:c>
      <x:c r="I5" s="31" t="str">
        <x:v>Transaction description</x:v>
      </x:c>
      <x:c r="J5" s="31" t="str">
        <x:v>Why this needs review</x:v>
      </x:c>
      <x:c r="K5" s="31" t="str">
        <x:v>Document link</x:v>
      </x:c>
      <x:c r="L5" s="31" t="str">
        <x:v>Notes</x:v>
      </x:c>
    </x:row>
    <x:row r="6">
      <x:c r="A6" s="35" t="str">
        <x:v>Needs review</x:v>
      </x:c>
      <x:c r="B6" s="35" t="str">
        <x:v>Bundle or amount differs</x:v>
      </x:c>
      <x:c r="C6" s="35" t="str">
        <x:v>Unclassified</x:v>
      </x:c>
      <x:c r="D6" s="36" t="n">
        <x:v>45777</x:v>
      </x:c>
      <x:c r="E6" s="35" t="str">
        <x:v>6755A192-0006</x:v>
      </x:c>
      <x:c r="F6" s="35" t="str">
        <x:v>EUR 5.00</x:v>
      </x:c>
      <x:c r="G6" s="36" t="n">
        <x:v>45779</x:v>
      </x:c>
      <x:c r="H6" s="35" t="str">
        <x:v>EUR 17.63</x:v>
      </x:c>
      <x:c r="I6" s="37" t="str">
        <x:v>STRIPE</x:v>
      </x:c>
      <x:c r="J6" s="37" t="str">
        <x:v>Amount or currency differs; 2 days after invoice. Check whether this is part of a bundle. Existing non-Drive evidence is already recorded.</x:v>
      </x:c>
      <x:c r="K6" s="35" t="str">
        <x:v>https://drive.google.com/file/d/1JsoM9Oncilsbjhjur8nPTxPmXseLwFtj/view?usp=drivesdk</x:v>
      </x:c>
      <x:c r="L6" s="37" t="str"/>
    </x:row>
    <x:row r="7">
      <x:c r="A7" s="35" t="str">
        <x:v>Needs review</x:v>
      </x:c>
      <x:c r="B7" s="35" t="str">
        <x:v>Bundle or amount differs</x:v>
      </x:c>
      <x:c r="C7" s="35" t="str">
        <x:v>Alibaba</x:v>
      </x:c>
      <x:c r="D7" s="36" t="n">
        <x:v>46043</x:v>
      </x:c>
      <x:c r="E7" s="35" t="str">
        <x:v>EEAR1-2601000002603</x:v>
      </x:c>
      <x:c r="F7" s="35" t="str">
        <x:v>EUR 6.13</x:v>
      </x:c>
      <x:c r="G7" s="36" t="n">
        <x:v>46043</x:v>
      </x:c>
      <x:c r="H7" s="35" t="str">
        <x:v>EUR -5.96</x:v>
      </x:c>
      <x:c r="I7" s="37" t="str">
        <x:v>Ant Alibaba</x:v>
      </x:c>
      <x:c r="J7" s="37" t="str">
        <x:v>Amount or currency differs; same day. Check whether this is part of a bundle.</x:v>
      </x:c>
      <x:c r="K7" s="35" t="str">
        <x:v>https://drive.google.com/file/d/1vU4FBHTJ9zMT0FGpYVqnnwYCkfI4nDv_/view?usp=drivesdk</x:v>
      </x:c>
      <x:c r="L7" s="37" t="str"/>
    </x:row>
    <x:row r="8">
      <x:c r="A8" s="35" t="str">
        <x:v>Needs review</x:v>
      </x:c>
      <x:c r="B8" s="35" t="str">
        <x:v>Bundle or amount differs</x:v>
      </x:c>
      <x:c r="C8" s="35" t="str">
        <x:v>Alibaba</x:v>
      </x:c>
      <x:c r="D8" s="36" t="n">
        <x:v>46046</x:v>
      </x:c>
      <x:c r="E8" s="35" t="str">
        <x:v>EEAR1-2601000002772</x:v>
      </x:c>
      <x:c r="F8" s="35" t="str">
        <x:v>EUR 69.19</x:v>
      </x:c>
      <x:c r="G8" s="36" t="n">
        <x:v>46046</x:v>
      </x:c>
      <x:c r="H8" s="35" t="str">
        <x:v>EUR -67.41</x:v>
      </x:c>
      <x:c r="I8" s="37" t="str">
        <x:v>Ant Alibaba</x:v>
      </x:c>
      <x:c r="J8" s="37" t="str">
        <x:v>Amount or currency differs; same day. Check whether this is part of a bundle.</x:v>
      </x:c>
      <x:c r="K8" s="35" t="str">
        <x:v>https://drive.google.com/file/d/12OBW5Y6hUVPovXgzYfDGF738eRoS6U5Q/view?usp=drivesdk</x:v>
      </x:c>
      <x:c r="L8" s="37" t="str"/>
    </x:row>
    <x:row r="9">
      <x:c r="A9" s="35" t="str">
        <x:v>Needs review</x:v>
      </x:c>
      <x:c r="B9" s="35" t="str">
        <x:v>Bundle or amount differs</x:v>
      </x:c>
      <x:c r="C9" s="35" t="str">
        <x:v>Amazon</x:v>
      </x:c>
      <x:c r="D9" s="36" t="n">
        <x:v>45878</x:v>
      </x:c>
      <x:c r="E9" s="35" t="str">
        <x:v>CZ5RCMTAEUI</x:v>
      </x:c>
      <x:c r="F9" s="35" t="str">
        <x:v>EUR 10.29</x:v>
      </x:c>
      <x:c r="G9" s="36" t="n">
        <x:v>45878</x:v>
      </x:c>
      <x:c r="H9" s="35" t="str">
        <x:v>EUR -18.53</x:v>
      </x:c>
      <x:c r="I9" s="37" t="str">
        <x:v>Amzn Mktp De*Rf4du7x94 800-279-6620</x:v>
      </x:c>
      <x:c r="J9" s="37" t="str">
        <x:v>Amount or currency differs; same day. Check whether this is part of a bundle.</x:v>
      </x:c>
      <x:c r="K9" s="35" t="str">
        <x:v>https://drive.google.com/file/d/1BZLeutRHUQKOheDQXLduD1m_R3_M834i/view?usp=drivesdk</x:v>
      </x:c>
      <x:c r="L9" s="37" t="str"/>
    </x:row>
    <x:row r="10">
      <x:c r="A10" s="35" t="str">
        <x:v>Needs review</x:v>
      </x:c>
      <x:c r="B10" s="35" t="str">
        <x:v>Bundle or amount differs</x:v>
      </x:c>
      <x:c r="C10" s="35" t="str">
        <x:v>Amazon</x:v>
      </x:c>
      <x:c r="D10" s="36" t="n">
        <x:v>45918</x:v>
      </x:c>
      <x:c r="E10" s="35" t="str">
        <x:v>CZ5WKDKAEUI</x:v>
      </x:c>
      <x:c r="F10" s="35" t="str">
        <x:v>EUR 42.51</x:v>
      </x:c>
      <x:c r="G10" s="36" t="n">
        <x:v>45918</x:v>
      </x:c>
      <x:c r="H10" s="35" t="str">
        <x:v>EUR -95.75</x:v>
      </x:c>
      <x:c r="I10" s="37" t="str">
        <x:v>Amazon* Dp77z52a5 LUXEMBOURG</x:v>
      </x:c>
      <x:c r="J10" s="37" t="str">
        <x:v>Amount or currency differs; same day. Check whether this is part of a bundle.</x:v>
      </x:c>
      <x:c r="K10" s="35" t="str">
        <x:v>https://drive.google.com/file/d/1F074SiT6pPWNIjk2pwKtnWGNVegJsXow/view?usp=drivesdk</x:v>
      </x:c>
      <x:c r="L10" s="37" t="str"/>
    </x:row>
    <x:row r="11">
      <x:c r="A11" s="35" t="str">
        <x:v>Needs review</x:v>
      </x:c>
      <x:c r="B11" s="35" t="str">
        <x:v>Bundle or amount differs</x:v>
      </x:c>
      <x:c r="C11" s="35" t="str">
        <x:v>Amazon</x:v>
      </x:c>
      <x:c r="D11" s="36" t="n">
        <x:v>45919</x:v>
      </x:c>
      <x:c r="E11" s="35" t="str">
        <x:v>DE50001I39XWTI</x:v>
      </x:c>
      <x:c r="F11" s="35" t="str">
        <x:v>EUR 17.09</x:v>
      </x:c>
      <x:c r="G11" s="36" t="n">
        <x:v>45918</x:v>
      </x:c>
      <x:c r="H11" s="35" t="str">
        <x:v>EUR -49.50</x:v>
      </x:c>
      <x:c r="I11" s="37" t="str">
        <x:v>Amazon* I67wt5kl5 LUXEMBOURG</x:v>
      </x:c>
      <x:c r="J11" s="37" t="str">
        <x:v>Amount or currency differs; 1 day before invoice. Check whether this is part of a bundle.</x:v>
      </x:c>
      <x:c r="K11" s="35" t="str">
        <x:v>https://drive.google.com/file/d/1ZD1udV1kZNnTY_At6N5yHKvicZtxIV-d/view?usp=drivesdk</x:v>
      </x:c>
      <x:c r="L11" s="37" t="str"/>
    </x:row>
    <x:row r="12">
      <x:c r="A12" s="35" t="str">
        <x:v>Needs review</x:v>
      </x:c>
      <x:c r="B12" s="35" t="str">
        <x:v>Bundle or amount differs</x:v>
      </x:c>
      <x:c r="C12" s="35" t="str">
        <x:v>Byteplus</x:v>
      </x:c>
      <x:c r="D12" s="36" t="n">
        <x:v>46027</x:v>
      </x:c>
      <x:c r="E12" s="35" t="str">
        <x:v>BPSGEPS20261451342840</x:v>
      </x:c>
      <x:c r="F12" s="35" t="str">
        <x:v>USD 720.33</x:v>
      </x:c>
      <x:c r="G12" s="36" t="n">
        <x:v>46043</x:v>
      </x:c>
      <x:c r="H12" s="35" t="str">
        <x:v>EUR -616.50</x:v>
      </x:c>
      <x:c r="I12" s="37" t="str">
        <x:v>Byteplus</x:v>
      </x:c>
      <x:c r="J12" s="37" t="str">
        <x:v>Amount or currency differs; 16 days after invoice. Check whether this is part of a bundle.</x:v>
      </x:c>
      <x:c r="K12" s="35" t="str">
        <x:v>https://drive.google.com/file/d/1JRGWil7-GFJXWs7iitCHYX3bobUe-LI-/view?usp=drivesdk</x:v>
      </x:c>
      <x:c r="L12" s="37" t="str"/>
    </x:row>
    <x:row r="13">
      <x:c r="A13" s="35" t="str">
        <x:v>Needs review</x:v>
      </x:c>
      <x:c r="B13" s="35" t="str">
        <x:v>Bundle or amount differs</x:v>
      </x:c>
      <x:c r="C13" s="35" t="str">
        <x:v>Deel</x:v>
      </x:c>
      <x:c r="D13" s="36" t="n">
        <x:v>45954</x:v>
      </x:c>
      <x:c r="E13" s="35" t="str">
        <x:v>INV-2025-3380709</x:v>
      </x:c>
      <x:c r="F13" s="35" t="str">
        <x:v>EUR 477.30</x:v>
      </x:c>
      <x:c r="G13" s="36" t="n">
        <x:v>45957</x:v>
      </x:c>
      <x:c r="H13" s="35" t="str">
        <x:v>EUR -7029.42</x:v>
      </x:c>
      <x:c r="I13" s="37" t="str">
        <x:v>LETS DEEL LTD</x:v>
      </x:c>
      <x:c r="J13" s="37" t="str">
        <x:v>Amount or currency differs; 3 days after invoice. Check whether this is part of a bundle. Existing non-Drive evidence is already recorded.</x:v>
      </x:c>
      <x:c r="K13" s="35" t="str">
        <x:v>https://drive.google.com/file/d/1W9S1aySHoGkwoKc23EQ0MT8ajdi0wcCK/view?usp=drivesdk</x:v>
      </x:c>
      <x:c r="L13" s="37" t="str"/>
    </x:row>
    <x:row r="14">
      <x:c r="A14" s="35" t="str">
        <x:v>Needs review</x:v>
      </x:c>
      <x:c r="B14" s="35" t="str">
        <x:v>Bundle or amount differs</x:v>
      </x:c>
      <x:c r="C14" s="35" t="str">
        <x:v>Deel</x:v>
      </x:c>
      <x:c r="D14" s="36" t="n">
        <x:v>45985</x:v>
      </x:c>
      <x:c r="E14" s="35" t="str">
        <x:v>INV-2025-3797754</x:v>
      </x:c>
      <x:c r="F14" s="35" t="str">
        <x:v>EUR 4.36</x:v>
      </x:c>
      <x:c r="G14" s="36" t="n">
        <x:v>45986</x:v>
      </x:c>
      <x:c r="H14" s="35" t="str">
        <x:v>EUR -7042.02</x:v>
      </x:c>
      <x:c r="I14" s="37" t="str">
        <x:v>LETS DEEL LTD</x:v>
      </x:c>
      <x:c r="J14" s="37" t="str">
        <x:v>Amount or currency differs; 1 day after invoice. Check whether this is part of a bundle. Existing non-Drive evidence is already recorded.</x:v>
      </x:c>
      <x:c r="K14" s="35" t="str">
        <x:v>https://drive.google.com/file/d/1RNMR8wgdnX-LYo2BEhH76cgLZSMKwcRT/view?usp=drivesdk</x:v>
      </x:c>
      <x:c r="L14" s="37" t="str"/>
    </x:row>
    <x:row r="15">
      <x:c r="A15" s="35" t="str">
        <x:v>Needs review</x:v>
      </x:c>
      <x:c r="B15" s="35" t="str">
        <x:v>Bundle or amount differs</x:v>
      </x:c>
      <x:c r="C15" s="35" t="str">
        <x:v>Deel</x:v>
      </x:c>
      <x:c r="D15" s="36" t="n">
        <x:v>45985</x:v>
      </x:c>
      <x:c r="E15" s="35" t="str">
        <x:v>INV-2025-610317</x:v>
      </x:c>
      <x:c r="F15" s="35" t="str">
        <x:v>EUR 6553.48</x:v>
      </x:c>
      <x:c r="G15" s="36" t="n">
        <x:v>45869</x:v>
      </x:c>
      <x:c r="H15" s="35" t="str">
        <x:v>EUR -26414.00</x:v>
      </x:c>
      <x:c r="I15" s="37" t="str">
        <x:v>LETS DEEL LTD</x:v>
      </x:c>
      <x:c r="J15" s="37" t="str">
        <x:v>Amount or currency differs; 116 days before invoice. Check whether this is part of a bundle. Existing non-Drive evidence is already recorded.</x:v>
      </x:c>
      <x:c r="K15" s="35" t="str">
        <x:v>https://drive.google.com/file/d/1SS2hfL7vlhyy0UxI_Q3S2yIVXb0PrCpE/view?usp=drivesdk</x:v>
      </x:c>
      <x:c r="L15" s="37" t="str"/>
    </x:row>
    <x:row r="16">
      <x:c r="A16" s="35" t="str">
        <x:v>Needs review</x:v>
      </x:c>
      <x:c r="B16" s="35" t="str">
        <x:v>Bundle or amount differs</x:v>
      </x:c>
      <x:c r="C16" s="35" t="str">
        <x:v>Enty</x:v>
      </x:c>
      <x:c r="D16" s="36" t="n">
        <x:v>45709</x:v>
      </x:c>
      <x:c r="E16" s="35" t="str">
        <x:v>25541</x:v>
      </x:c>
      <x:c r="F16" s="35" t="str">
        <x:v>EUR 0.01</x:v>
      </x:c>
      <x:c r="G16" s="36" t="n">
        <x:v>45859</x:v>
      </x:c>
      <x:c r="H16" s="35" t="str">
        <x:v>EUR -73.16</x:v>
      </x:c>
      <x:c r="I16" s="37" t="str">
        <x:v>Entytech Ou TALLINN</x:v>
      </x:c>
      <x:c r="J16" s="37" t="str">
        <x:v>Amount or currency differs; 150 days after invoice. Check whether this is part of a bundle.</x:v>
      </x:c>
      <x:c r="K16" s="35" t="str">
        <x:v>https://drive.google.com/file/d/1edo5nsyHLN5nIPwAjYeq56pYWarfuYZN/view?usp=drivesdk</x:v>
      </x:c>
      <x:c r="L16" s="37" t="str"/>
    </x:row>
    <x:row r="17">
      <x:c r="A17" s="35" t="str">
        <x:v>Needs review</x:v>
      </x:c>
      <x:c r="B17" s="35" t="str">
        <x:v>Bundle or amount differs</x:v>
      </x:c>
      <x:c r="C17" s="35" t="str">
        <x:v>Enty</x:v>
      </x:c>
      <x:c r="D17" s="36" t="n">
        <x:v>45904</x:v>
      </x:c>
      <x:c r="E17" s="35" t="str">
        <x:v>32699</x:v>
      </x:c>
      <x:c r="F17" s="35" t="str">
        <x:v>EUR 118.51</x:v>
      </x:c>
      <x:c r="G17" s="36" t="n">
        <x:v>45904</x:v>
      </x:c>
      <x:c r="H17" s="35" t="str">
        <x:v>EUR -77.13</x:v>
      </x:c>
      <x:c r="I17" s="37" t="str">
        <x:v>Entytech Ou TALLINN</x:v>
      </x:c>
      <x:c r="J17" s="37" t="str">
        <x:v>Amount or currency differs; same day. Check whether this is part of a bundle.</x:v>
      </x:c>
      <x:c r="K17" s="35" t="str">
        <x:v>https://drive.google.com/file/d/1fm_jp7mXW9hjnM3GNShnDoDssCEx6SoH/view?usp=drivesdk</x:v>
      </x:c>
      <x:c r="L17" s="37" t="str"/>
    </x:row>
    <x:row r="18">
      <x:c r="A18" s="35" t="str">
        <x:v>Needs review</x:v>
      </x:c>
      <x:c r="B18" s="35" t="str">
        <x:v>Bundle or amount differs</x:v>
      </x:c>
      <x:c r="C18" s="35" t="str">
        <x:v>Enty</x:v>
      </x:c>
      <x:c r="D18" s="36" t="n">
        <x:v>45939</x:v>
      </x:c>
      <x:c r="E18" s="35" t="str">
        <x:v>34105</x:v>
      </x:c>
      <x:c r="F18" s="35" t="str">
        <x:v>EUR 114.96</x:v>
      </x:c>
      <x:c r="G18" s="36" t="n">
        <x:v>45939</x:v>
      </x:c>
      <x:c r="H18" s="35" t="str">
        <x:v>EUR -30.12</x:v>
      </x:c>
      <x:c r="I18" s="37" t="str">
        <x:v>Entytech Ou TALLINN</x:v>
      </x:c>
      <x:c r="J18" s="37" t="str">
        <x:v>Amount or currency differs; same day. Check whether this is part of a bundle.</x:v>
      </x:c>
      <x:c r="K18" s="35" t="str">
        <x:v>https://drive.google.com/file/d/1p5TmXdfGHAYxSUzcwYqnbRGZPy8wZG2G/view?usp=drivesdk</x:v>
      </x:c>
      <x:c r="L18" s="37" t="str"/>
    </x:row>
    <x:row r="19">
      <x:c r="A19" s="35" t="str">
        <x:v>Needs review</x:v>
      </x:c>
      <x:c r="B19" s="35" t="str">
        <x:v>Bundle or amount differs</x:v>
      </x:c>
      <x:c r="C19" s="35" t="str">
        <x:v>Google Workspace</x:v>
      </x:c>
      <x:c r="D19" s="36" t="n">
        <x:v>46066</x:v>
      </x:c>
      <x:c r="E19" s="35" t="str">
        <x:v>V142</x:v>
      </x:c>
      <x:c r="F19" s="35" t="str">
        <x:v>EUR 4943.18</x:v>
      </x:c>
      <x:c r="G19" s="36" t="n">
        <x:v>46061</x:v>
      </x:c>
      <x:c r="H19" s="35" t="str">
        <x:v>EUR -69.90</x:v>
      </x:c>
      <x:c r="I19" s="37" t="str">
        <x:v>THOMAS DANIEL HAFERLACH Sent</x:v>
      </x:c>
      <x:c r="J19" s="37" t="str">
        <x:v>Amount or currency differs; 5 days before invoice. Check whether this is part of a bundle.</x:v>
      </x:c>
      <x:c r="K19" s="35" t="str">
        <x:v>https://drive.google.com/file/d/1ksi8xtjwTNVXqknatMzJIJoIyiR321MY/view?usp=drivesdk</x:v>
      </x:c>
      <x:c r="L19" s="37" t="str"/>
    </x:row>
    <x:row r="20">
      <x:c r="A20" s="35" t="str">
        <x:v>Needs review</x:v>
      </x:c>
      <x:c r="B20" s="35" t="str">
        <x:v>Bundle or amount differs</x:v>
      </x:c>
      <x:c r="C20" s="35" t="str">
        <x:v>Leik</x:v>
      </x:c>
      <x:c r="D20" s="36" t="n">
        <x:v>45943</x:v>
      </x:c>
      <x:c r="E20" s="35" t="str">
        <x:v>RE-82214</x:v>
      </x:c>
      <x:c r="F20" s="35" t="str">
        <x:v>EUR 964.00</x:v>
      </x:c>
      <x:c r="G20" s="36" t="n">
        <x:v>45940</x:v>
      </x:c>
      <x:c r="H20" s="35" t="str">
        <x:v>EUR -915.80</x:v>
      </x:c>
      <x:c r="I20" s="37" t="str">
        <x:v>Leik GmbH</x:v>
      </x:c>
      <x:c r="J20" s="37" t="str">
        <x:v>Amount or currency differs; 3 days before invoice. Check whether this is part of a bundle.</x:v>
      </x:c>
      <x:c r="K20" s="35" t="str">
        <x:v>https://drive.google.com/file/d/1PQAchOqVCbBKb7r8WhV4vXH9HHO7exeW/view?usp=drivesdk</x:v>
      </x:c>
      <x:c r="L20" s="37" t="str"/>
    </x:row>
    <x:row r="21">
      <x:c r="A21" s="35" t="str">
        <x:v>Needs review</x:v>
      </x:c>
      <x:c r="B21" s="35" t="str">
        <x:v>Bundle or amount differs</x:v>
      </x:c>
      <x:c r="C21" s="35" t="str">
        <x:v>Naturenergie</x:v>
      </x:c>
      <x:c r="D21" s="36" t="n">
        <x:v>46045</x:v>
      </x:c>
      <x:c r="E21" s="35" t="str">
        <x:v>6153791211</x:v>
      </x:c>
      <x:c r="F21" s="35" t="str">
        <x:v>EUR 176.50</x:v>
      </x:c>
      <x:c r="G21" s="36" t="n">
        <x:v>46057</x:v>
      </x:c>
      <x:c r="H21" s="35" t="str">
        <x:v>EUR -33.00</x:v>
      </x:c>
      <x:c r="I21" s="37" t="str">
        <x:v>naturenergie hochrhein AG Sent</x:v>
      </x:c>
      <x:c r="J21" s="37" t="str">
        <x:v>Amount or currency differs; 12 days after invoice. Check whether this is part of a bundle.</x:v>
      </x:c>
      <x:c r="K21" s="35" t="str">
        <x:v>https://drive.google.com/file/d/1zoX1MJCdNOsqhv2hg67jD1f1eDOxs6WP/view?usp=drivesdk</x:v>
      </x:c>
      <x:c r="L21" s="37" t="str"/>
    </x:row>
    <x:row r="22">
      <x:c r="A22" s="35" t="str">
        <x:v>Needs review</x:v>
      </x:c>
      <x:c r="B22" s="35" t="str">
        <x:v>Bundle or amount differs</x:v>
      </x:c>
      <x:c r="C22" s="35" t="str">
        <x:v>Paypal</x:v>
      </x:c>
      <x:c r="D22" s="36" t="n">
        <x:v>45930</x:v>
      </x:c>
      <x:c r="E22" s="35" t="str">
        <x:v>1H0031415098202</x:v>
      </x:c>
      <x:c r="F22" s="35" t="str">
        <x:v>EUR 1676.19</x:v>
      </x:c>
      <x:c r="G22" s="36" t="n">
        <x:v>45960</x:v>
      </x:c>
      <x:c r="H22" s="35" t="str">
        <x:v>EUR -1676.19</x:v>
      </x:c>
      <x:c r="I22" s="37" t="str">
        <x:v>Elliot Fouchy</x:v>
      </x:c>
      <x:c r="J22" s="37" t="str">
        <x:v>Amount or currency differs; 30 days after invoice. Check whether this is part of a bundle. Existing non-Drive evidence is already recorded.</x:v>
      </x:c>
      <x:c r="K22" s="35" t="str">
        <x:v>https://drive.google.com/file/d/1mH0sU4DqbhV2CU_yXh5hB9Dvr9elGdlk/view?usp=drivesdk</x:v>
      </x:c>
      <x:c r="L22" s="37" t="str"/>
    </x:row>
    <x:row r="23">
      <x:c r="A23" s="35" t="str">
        <x:v>Needs review</x:v>
      </x:c>
      <x:c r="B23" s="35" t="str">
        <x:v>Bundle or amount differs</x:v>
      </x:c>
      <x:c r="C23" s="35" t="str">
        <x:v>Paypal</x:v>
      </x:c>
      <x:c r="D23" s="36" t="n">
        <x:v>45930</x:v>
      </x:c>
      <x:c r="E23" s="35" t="str">
        <x:v>2H582640TX79952</x:v>
      </x:c>
      <x:c r="F23" s="35" t="str">
        <x:v>EUR 1865.22</x:v>
      </x:c>
      <x:c r="G23" s="36" t="n">
        <x:v>45931</x:v>
      </x:c>
      <x:c r="H23" s="35" t="str">
        <x:v>EUR -1865.22</x:v>
      </x:c>
      <x:c r="I23" s="37" t="str">
        <x:v>Elliot Fouchy</x:v>
      </x:c>
      <x:c r="J23" s="37" t="str">
        <x:v>Amount or currency differs; 1 day after invoice. Check whether this is part of a bundle.</x:v>
      </x:c>
      <x:c r="K23" s="35" t="str">
        <x:v>https://drive.google.com/file/d/1mH0sU4DqbhV2CU_yXh5hB9Dvr9elGdlk/view?usp=drivesdk</x:v>
      </x:c>
      <x:c r="L23" s="37" t="str"/>
    </x:row>
    <x:row r="24">
      <x:c r="A24" s="35" t="str">
        <x:v>Needs review</x:v>
      </x:c>
      <x:c r="B24" s="35" t="str">
        <x:v>Bundle or amount differs</x:v>
      </x:c>
      <x:c r="C24" s="35" t="str">
        <x:v>Proton</x:v>
      </x:c>
      <x:c r="D24" s="36" t="n">
        <x:v>45936</x:v>
      </x:c>
      <x:c r="E24" s="35" t="str">
        <x:v>12443417</x:v>
      </x:c>
      <x:c r="F24" s="35" t="str">
        <x:v>EUR 17.98</x:v>
      </x:c>
      <x:c r="G24" s="36" t="n">
        <x:v>45936</x:v>
      </x:c>
      <x:c r="H24" s="35" t="str">
        <x:v>EUR -4.54</x:v>
      </x:c>
      <x:c r="I24" s="37" t="str">
        <x:v>Proton LUXEMBOURG</x:v>
      </x:c>
      <x:c r="J24" s="37" t="str">
        <x:v>Amount or currency differs; same day. Check whether this is part of a bundle.</x:v>
      </x:c>
      <x:c r="K24" s="35" t="str">
        <x:v>https://drive.google.com/file/d/1qwJ8i3hF_ioajjO4N3iSLn3y2IVl8nDk/view?usp=drivesdk</x:v>
      </x:c>
      <x:c r="L24" s="37" t="str"/>
    </x:row>
    <x:row r="25">
      <x:c r="A25" s="35" t="str">
        <x:v>Needs review</x:v>
      </x:c>
      <x:c r="B25" s="35" t="str">
        <x:v>Bundle or amount differs</x:v>
      </x:c>
      <x:c r="C25" s="35" t="str">
        <x:v>Tele2</x:v>
      </x:c>
      <x:c r="D25" s="36" t="n">
        <x:v>46023</x:v>
      </x:c>
      <x:c r="E25" s="35" t="str">
        <x:v>15124410539</x:v>
      </x:c>
      <x:c r="F25" s="35" t="str">
        <x:v>EUR 9.41</x:v>
      </x:c>
      <x:c r="G25" s="36" t="n">
        <x:v>46052</x:v>
      </x:c>
      <x:c r="H25" s="35" t="str">
        <x:v>EUR -30.84</x:v>
      </x:c>
      <x:c r="I25" s="37" t="str">
        <x:v>TELE2 EESTI AS Sent</x:v>
      </x:c>
      <x:c r="J25" s="37" t="str">
        <x:v>Amount or currency differs; 29 days after invoice. Check whether this is part of a bundle.</x:v>
      </x:c>
      <x:c r="K25" s="35" t="str">
        <x:v>https://drive.google.com/file/d/1ZYDYIGpCQzaii5xFczdvnS5ihoTR8wUA/view?usp=drivesdk</x:v>
      </x:c>
      <x:c r="L25" s="37" t="str"/>
    </x:row>
    <x:row r="26">
      <x:c r="A26" s="35" t="str">
        <x:v>Needs review</x:v>
      </x:c>
      <x:c r="B26" s="35" t="str">
        <x:v>Bundle or amount differs</x:v>
      </x:c>
      <x:c r="C26" s="35" t="str">
        <x:v>Tele2</x:v>
      </x:c>
      <x:c r="D26" s="36" t="n">
        <x:v>46113</x:v>
      </x:c>
      <x:c r="E26" s="35" t="str">
        <x:v>15125090886</x:v>
      </x:c>
      <x:c r="F26" s="35" t="str">
        <x:v>EUR 9.34</x:v>
      </x:c>
      <x:c r="G26" s="36" t="n">
        <x:v>46125</x:v>
      </x:c>
      <x:c r="H26" s="35" t="str">
        <x:v>EUR -29.79</x:v>
      </x:c>
      <x:c r="I26" s="37" t="str">
        <x:v>TELE2 EESTI AS Sent</x:v>
      </x:c>
      <x:c r="J26" s="37" t="str">
        <x:v>Amount or currency differs; 12 days after invoice. Check whether this is part of a bundle.</x:v>
      </x:c>
      <x:c r="K26" s="35" t="str">
        <x:v>https://drive.google.com/file/d/15N68MpT6c061c05y8oyG2GK1GKExMR5Q/view?usp=drivesdk</x:v>
      </x:c>
      <x:c r="L26" s="37" t="str"/>
    </x:row>
    <x:row r="27">
      <x:c r="A27" s="35" t="str">
        <x:v>Needs review</x:v>
      </x:c>
      <x:c r="B27" s="35" t="str">
        <x:v>Bundle or amount differs</x:v>
      </x:c>
      <x:c r="C27" s="35" t="str">
        <x:v>Tinybird</x:v>
      </x:c>
      <x:c r="D27" s="36" t="n">
        <x:v>45857</x:v>
      </x:c>
      <x:c r="E27" s="35" t="str">
        <x:v>FUNAOD-00003</x:v>
      </x:c>
      <x:c r="F27" s="35" t="str">
        <x:v>USD 95.16</x:v>
      </x:c>
      <x:c r="G27" s="36" t="n">
        <x:v>45866</x:v>
      </x:c>
      <x:c r="H27" s="35" t="str">
        <x:v>EUR -0.56</x:v>
      </x:c>
      <x:c r="I27" s="37" t="str">
        <x:v>Tinybird.co TINYBIRD.CO</x:v>
      </x:c>
      <x:c r="J27" s="37" t="str">
        <x:v>Amount or currency differs; 9 days after invoice. Check whether this is part of a bundle.</x:v>
      </x:c>
      <x:c r="K27" s="35" t="str">
        <x:v>https://drive.google.com/file/d/10h6qeRQiW2apaHF1tyzWJBHJjQUccSvv/view?usp=drivesdk</x:v>
      </x:c>
      <x:c r="L27" s="37" t="str"/>
    </x:row>
    <x:row r="28">
      <x:c r="A28" s="35" t="str">
        <x:v>Needs review</x:v>
      </x:c>
      <x:c r="B28" s="35" t="str">
        <x:v>Bundle or amount differs</x:v>
      </x:c>
      <x:c r="C28" s="35" t="str">
        <x:v>Tinybird</x:v>
      </x:c>
      <x:c r="D28" s="36" t="n">
        <x:v>45918</x:v>
      </x:c>
      <x:c r="E28" s="35" t="str">
        <x:v>FUNAOD-00006</x:v>
      </x:c>
      <x:c r="F28" s="35" t="str">
        <x:v>USD 199.03</x:v>
      </x:c>
      <x:c r="G28" s="36" t="n">
        <x:v>45919</x:v>
      </x:c>
      <x:c r="H28" s="35" t="str">
        <x:v>EUR -34.01</x:v>
      </x:c>
      <x:c r="I28" s="37" t="str">
        <x:v>Tinybird.co TINYBIRD.CO</x:v>
      </x:c>
      <x:c r="J28" s="37" t="str">
        <x:v>Amount or currency differs; 1 day after invoice. Check whether this is part of a bundle.</x:v>
      </x:c>
      <x:c r="K28" s="35" t="str">
        <x:v>https://drive.google.com/file/d/1LxaKi4GabskILyyWY1JwjhmG4u8w4CYs/view?usp=drivesdk</x:v>
      </x:c>
      <x:c r="L28" s="37" t="str"/>
    </x:row>
    <x:row r="29">
      <x:c r="A29" s="35" t="str">
        <x:v>Needs review</x:v>
      </x:c>
      <x:c r="B29" s="35" t="str">
        <x:v>Bundle or amount differs</x:v>
      </x:c>
      <x:c r="C29" s="35" t="str">
        <x:v>Windsurf</x:v>
      </x:c>
      <x:c r="D29" s="36" t="n">
        <x:v>45846</x:v>
      </x:c>
      <x:c r="E29" s="35" t="str">
        <x:v>QWC8RYCF-0002</x:v>
      </x:c>
      <x:c r="F29" s="35" t="str">
        <x:v>USD 89.98</x:v>
      </x:c>
      <x:c r="G29" s="36" t="n">
        <x:v>45846</x:v>
      </x:c>
      <x:c r="H29" s="35" t="str">
        <x:v>EUR -10.98</x:v>
      </x:c>
      <x:c r="I29" s="37" t="str">
        <x:v>Windsurf WINDSURF.COM</x:v>
      </x:c>
      <x:c r="J29" s="37" t="str">
        <x:v>Amount or currency differs; same day. Check whether this is part of a bundle.</x:v>
      </x:c>
      <x:c r="K29" s="35" t="str">
        <x:v>https://drive.google.com/file/d/1JKV7bvsiq8DSYHZhu9RMzArvz62A0Wap/view?usp=drivesdk</x:v>
      </x:c>
      <x:c r="L29" s="37" t="str"/>
    </x:row>
    <x:row r="30">
      <x:c r="A30" s="35" t="str">
        <x:v>Needs review</x:v>
      </x:c>
      <x:c r="B30" s="35" t="str">
        <x:v>Close amount</x:v>
      </x:c>
      <x:c r="C30" s="35" t="str">
        <x:v>Unclassified</x:v>
      </x:c>
      <x:c r="D30" s="36" t="n">
        <x:v>45809</x:v>
      </x:c>
      <x:c r="E30" s="35" t="str">
        <x:v>2025-00003</x:v>
      </x:c>
      <x:c r="F30" s="35" t="str">
        <x:v>CAD 1398.92</x:v>
      </x:c>
      <x:c r="G30" s="36" t="n">
        <x:v>45813</x:v>
      </x:c>
      <x:c r="H30" s="35" t="str">
        <x:v>CAD 1432.56</x:v>
      </x:c>
      <x:c r="I30" s="37" t="str">
        <x:v>VLAS MIKROPULO</x:v>
      </x:c>
      <x:c r="J30" s="37" t="str">
        <x:v>Amount is close; 4 days after invoice. Check fees, tax, or exchange rate.</x:v>
      </x:c>
      <x:c r="K30" s="35" t="str">
        <x:v>https://drive.google.com/file/d/1ki_ak3knMhXuL_kJLycMgY39MmMi8XuP/view?usp=drivesdk</x:v>
      </x:c>
      <x:c r="L30" s="37" t="str"/>
    </x:row>
    <x:row r="31">
      <x:c r="A31" s="35" t="str">
        <x:v>Needs review</x:v>
      </x:c>
      <x:c r="B31" s="35" t="str">
        <x:v>Close amount</x:v>
      </x:c>
      <x:c r="C31" s="35" t="str">
        <x:v>Unclassified</x:v>
      </x:c>
      <x:c r="D31" s="36" t="n">
        <x:v>46154</x:v>
      </x:c>
      <x:c r="E31" s="35" t="str">
        <x:v>NO766TL8 3034</x:v>
      </x:c>
      <x:c r="F31" s="35" t="str">
        <x:v>USD 2.00</x:v>
      </x:c>
      <x:c r="G31" s="36" t="n">
        <x:v>46176</x:v>
      </x:c>
      <x:c r="H31" s="35" t="str">
        <x:v>USD 1.94</x:v>
      </x:c>
      <x:c r="I31" s="37" t="str">
        <x:v>Cashback</x:v>
      </x:c>
      <x:c r="J31" s="37" t="str">
        <x:v>Amount is close; 22 days after invoice. Check fees, tax, or exchange rate.</x:v>
      </x:c>
      <x:c r="K31" s="35" t="str">
        <x:v>https://drive.google.com/file/d/1NlznT7UUjGUxFTd4RkfKsZ-muRRr4jFK/view?usp=drivesdk</x:v>
      </x:c>
      <x:c r="L31" s="37" t="str"/>
    </x:row>
    <x:row r="32">
      <x:c r="A32" s="35" t="str">
        <x:v>Needs review</x:v>
      </x:c>
      <x:c r="B32" s="35" t="str">
        <x:v>Close amount</x:v>
      </x:c>
      <x:c r="C32" s="35" t="str">
        <x:v>Paypal</x:v>
      </x:c>
      <x:c r="D32" s="36" t="n">
        <x:v>45937</x:v>
      </x:c>
      <x:c r="E32" s="35" t="str">
        <x:v>F012610362</x:v>
      </x:c>
      <x:c r="F32" s="35" t="str">
        <x:v>EUR 251.99</x:v>
      </x:c>
      <x:c r="G32" s="36" t="n">
        <x:v>46022</x:v>
      </x:c>
      <x:c r="H32" s="35" t="str">
        <x:v>EUR -249.60</x:v>
      </x:c>
      <x:c r="I32" s="37" t="str">
        <x:v>THOMAS DANIEL HAFERLACH Sent</x:v>
      </x:c>
      <x:c r="J32" s="37" t="str">
        <x:v>Amount is close; 85 days after invoice. Check fees, tax, or exchange rate.</x:v>
      </x:c>
      <x:c r="K32" s="35" t="str">
        <x:v>https://drive.google.com/file/d/1IdqS2aSEdTISEqd9nhllg34cAH1vXHEY/view?usp=drivesdk</x:v>
      </x:c>
      <x:c r="L32" s="37" t="str"/>
    </x:row>
    <x:row r="33">
      <x:c r="A33" s="35" t="str">
        <x:v>Needs review</x:v>
      </x:c>
      <x:c r="B33" s="35" t="str">
        <x:v>Close amount</x:v>
      </x:c>
      <x:c r="C33" s="35" t="str">
        <x:v>Pollinations Ai O</x:v>
      </x:c>
      <x:c r="D33" s="36" t="n">
        <x:v>45874</x:v>
      </x:c>
      <x:c r="E33" s="35" t="str">
        <x:v>2025-00002</x:v>
      </x:c>
      <x:c r="F33" s="35" t="str">
        <x:v>CAD 3113.00</x:v>
      </x:c>
      <x:c r="G33" s="36" t="n">
        <x:v>45785</x:v>
      </x:c>
      <x:c r="H33" s="35" t="str">
        <x:v>CAD 3113.35</x:v>
      </x:c>
      <x:c r="I33" s="37" t="str">
        <x:v>VLAS MIKROPULO</x:v>
      </x:c>
      <x:c r="J33" s="37" t="str">
        <x:v>Amount is close; 89 days before invoice. Check fees, tax, or exchange rate.</x:v>
      </x:c>
      <x:c r="K33" s="35" t="str">
        <x:v>https://drive.google.com/file/d/10wVcC-gKHWhK5KBEme5UIhD7dBYjBj96/view?usp=drivesdk</x:v>
      </x:c>
      <x:c r="L33" s="37" t="str"/>
    </x:row>
    <x:row r="34">
      <x:c r="A34" s="35" t="str">
        <x:v>Needs review</x:v>
      </x:c>
      <x:c r="B34" s="35" t="str">
        <x:v>Close amount</x:v>
      </x:c>
      <x:c r="C34" s="35" t="str">
        <x:v>Replicate</x:v>
      </x:c>
      <x:c r="D34" s="36" t="n">
        <x:v>45874</x:v>
      </x:c>
      <x:c r="E34" s="35" t="str">
        <x:v>Y3QLNESN-0001</x:v>
      </x:c>
      <x:c r="F34" s="35" t="str">
        <x:v>USD 60.83</x:v>
      </x:c>
      <x:c r="G34" s="36" t="n">
        <x:v>45874</x:v>
      </x:c>
      <x:c r="H34" s="35" t="str">
        <x:v>EUR -50.75</x:v>
      </x:c>
      <x:c r="I34" s="37" t="str">
        <x:v>Replicate REPLICATE.COM</x:v>
      </x:c>
      <x:c r="J34" s="37" t="str">
        <x:v>Amount is close; same day. Check fees, tax, or exchange rate.</x:v>
      </x:c>
      <x:c r="K34" s="35" t="str">
        <x:v>https://drive.google.com/file/d/1Bx46GumTWLja7ZOVe19zZEG6NzE8FjqG/view?usp=drivesdk</x:v>
      </x:c>
      <x:c r="L34" s="37" t="str"/>
    </x:row>
    <x:row r="35">
      <x:c r="A35" s="35" t="str">
        <x:v>Needs review</x:v>
      </x:c>
      <x:c r="B35" s="35" t="str">
        <x:v>Close amount</x:v>
      </x:c>
      <x:c r="C35" s="35" t="str">
        <x:v>Thomas Haferlach</x:v>
      </x:c>
      <x:c r="D35" s="36" t="n">
        <x:v>46181</x:v>
      </x:c>
      <x:c r="E35" s="35" t="str">
        <x:v>V143</x:v>
      </x:c>
      <x:c r="F35" s="35" t="str">
        <x:v>EUR 4428.17</x:v>
      </x:c>
      <x:c r="G35" s="36" t="n">
        <x:v>46204</x:v>
      </x:c>
      <x:c r="H35" s="35" t="str">
        <x:v>EUR -4503.54</x:v>
      </x:c>
      <x:c r="I35" s="37" t="str">
        <x:v>Google Cloud</x:v>
      </x:c>
      <x:c r="J35" s="37" t="str">
        <x:v>Amount is close; 23 days after invoice. Check fees, tax, or exchange rate.</x:v>
      </x:c>
      <x:c r="K35" s="35" t="str">
        <x:v>https://drive.google.com/file/d/1i7N-JtjGYvHD6ZI2GtarrTVAvSoKAkBv/view?usp=drivesdk</x:v>
      </x:c>
      <x:c r="L35" s="37" t="str"/>
    </x:row>
    <x:row r="36">
      <x:c r="A36" s="35" t="str">
        <x:v>Needs review</x:v>
      </x:c>
      <x:c r="B36" s="35" t="str">
        <x:v>Close amount</x:v>
      </x:c>
      <x:c r="C36" s="35" t="str">
        <x:v>Tinybird</x:v>
      </x:c>
      <x:c r="D36" s="36" t="n">
        <x:v>45854</x:v>
      </x:c>
      <x:c r="E36" s="35" t="str">
        <x:v>FUNAOD-00002</x:v>
      </x:c>
      <x:c r="F36" s="35" t="str">
        <x:v>USD 4.90</x:v>
      </x:c>
      <x:c r="G36" s="36" t="n">
        <x:v>45855</x:v>
      </x:c>
      <x:c r="H36" s="35" t="str">
        <x:v>EUR -4.11</x:v>
      </x:c>
      <x:c r="I36" s="37" t="str">
        <x:v>Tinybird.co TINYBIRD.CO</x:v>
      </x:c>
      <x:c r="J36" s="37" t="str">
        <x:v>Amount is close; 1 day after invoice. Check fees, tax, or exchange rate.</x:v>
      </x:c>
      <x:c r="K36" s="35" t="str">
        <x:v>https://drive.google.com/file/d/1UJhPM-RRhGrTza0PCN_FMpZSa6kxfCz3/view?usp=drivesdk</x:v>
      </x:c>
      <x:c r="L36" s="37" t="str"/>
    </x:row>
    <x:row r="37">
      <x:c r="A37" s="35" t="str">
        <x:v>Needs review</x:v>
      </x:c>
      <x:c r="B37" s="35" t="str">
        <x:v>Exact amount · check period</x:v>
      </x:c>
      <x:c r="C37" s="35" t="str">
        <x:v>Barbara Khamouguinoff</x:v>
      </x:c>
      <x:c r="D37" s="36" t="n">
        <x:v>46121</x:v>
      </x:c>
      <x:c r="E37" s="35" t="str">
        <x:v>03/02/2026</x:v>
      </x:c>
      <x:c r="F37" s="35" t="str">
        <x:v>EUR 80.00</x:v>
      </x:c>
      <x:c r="G37" s="36" t="n">
        <x:v>46125</x:v>
      </x:c>
      <x:c r="H37" s="35" t="str">
        <x:v>EUR -80.00</x:v>
      </x:c>
      <x:c r="I37" s="37" t="str">
        <x:v>Barbara Yasmina Khamouguinoff Sent</x:v>
      </x:c>
      <x:c r="J37" s="37" t="str">
        <x:v>Vendor and amount match; 4 days after invoice. Confirm service period.</x:v>
      </x:c>
      <x:c r="K37" s="35" t="str">
        <x:v>https://drive.google.com/file/d/1z7yNNrkfPbIQ6SXdVki-LtfDfBahGK7r/view?usp=drivesdk</x:v>
      </x:c>
      <x:c r="L37" s="37" t="str"/>
    </x:row>
    <x:row r="38">
      <x:c r="A38" s="35" t="str">
        <x:v>Needs review</x:v>
      </x:c>
      <x:c r="B38" s="35" t="str">
        <x:v>Exact amount · check period</x:v>
      </x:c>
      <x:c r="C38" s="35" t="str">
        <x:v>Deel</x:v>
      </x:c>
      <x:c r="D38" s="36" t="n">
        <x:v>46011</x:v>
      </x:c>
      <x:c r="E38" s="35" t="str">
        <x:v>S-2025-7</x:v>
      </x:c>
      <x:c r="F38" s="35" t="str">
        <x:v>EUR 7034.84</x:v>
      </x:c>
      <x:c r="G38" s="36" t="n">
        <x:v>46013</x:v>
      </x:c>
      <x:c r="H38" s="35" t="str">
        <x:v>EUR -7034.84</x:v>
      </x:c>
      <x:c r="I38" s="37" t="str">
        <x:v>LETS DEEL LTD</x:v>
      </x:c>
      <x:c r="J38" s="37" t="str">
        <x:v>Vendor and amount match; 2 days after invoice. Confirm service period. Existing non-Drive evidence is already recorded.</x:v>
      </x:c>
      <x:c r="K38" s="35" t="str">
        <x:v>https://drive.google.com/file/d/1GevXP94d_Vo9iqKTdfKCQE1y5EkRUtcU/view?usp=drivesdk</x:v>
      </x:c>
      <x:c r="L38" s="37" t="str"/>
    </x:row>
    <x:row r="39">
      <x:c r="A39" s="35" t="str">
        <x:v>Needs review</x:v>
      </x:c>
      <x:c r="B39" s="35" t="str">
        <x:v>Exact amount · check period</x:v>
      </x:c>
      <x:c r="C39" s="35" t="str">
        <x:v>Enty</x:v>
      </x:c>
      <x:c r="D39" s="36" t="n">
        <x:v>45859</x:v>
      </x:c>
      <x:c r="E39" s="35" t="str">
        <x:v>31078</x:v>
      </x:c>
      <x:c r="F39" s="35" t="str">
        <x:v>EUR 73.16</x:v>
      </x:c>
      <x:c r="G39" s="36" t="n">
        <x:v>45890</x:v>
      </x:c>
      <x:c r="H39" s="35" t="str">
        <x:v>EUR -73.16</x:v>
      </x:c>
      <x:c r="I39" s="37" t="str">
        <x:v>Entytech Ou TALLINN</x:v>
      </x:c>
      <x:c r="J39" s="37" t="str">
        <x:v>Vendor and amount match; 31 days after invoice. Confirm service period.</x:v>
      </x:c>
      <x:c r="K39" s="35" t="str">
        <x:v>https://drive.google.com/file/d/1GPTHG1of8ZA3uSDnolOErIcihPWPaqqy/view?usp=drivesdk</x:v>
      </x:c>
      <x:c r="L39" s="37" t="str"/>
    </x:row>
    <x:row r="40">
      <x:c r="A40" s="35" t="str">
        <x:v>Needs review</x:v>
      </x:c>
      <x:c r="B40" s="35" t="str">
        <x:v>Exact amount · check period</x:v>
      </x:c>
      <x:c r="C40" s="35" t="str">
        <x:v>Gaswerksiedlung</x:v>
      </x:c>
      <x:c r="D40" s="36" t="n">
        <x:v>45951</x:v>
      </x:c>
      <x:c r="E40" s="35" t="str">
        <x:v>GWS-2025_04</x:v>
      </x:c>
      <x:c r="F40" s="35" t="str">
        <x:v>EUR 1166.83</x:v>
      </x:c>
      <x:c r="G40" s="36" t="n">
        <x:v>45937</x:v>
      </x:c>
      <x:c r="H40" s="35" t="str">
        <x:v>EUR -1166.83</x:v>
      </x:c>
      <x:c r="I40" s="37" t="str">
        <x:v>Gaswerkssiedlung GmbH</x:v>
      </x:c>
      <x:c r="J40" s="37" t="str">
        <x:v>Vendor and amount match; 14 days before invoice. Confirm service period. Existing non-Drive evidence is already recorded.</x:v>
      </x:c>
      <x:c r="K40" s="35" t="str">
        <x:v>https://drive.google.com/file/d/1aT-Whla2_wwD6FOqjdgvnoJrH8EHVPhQ/view?usp=drivesdk</x:v>
      </x:c>
      <x:c r="L40" s="37" t="str"/>
    </x:row>
    <x:row r="41">
      <x:c r="A41" s="35" t="str">
        <x:v>Needs review</x:v>
      </x:c>
      <x:c r="B41" s="35" t="str">
        <x:v>Exact amount · check period</x:v>
      </x:c>
      <x:c r="C41" s="35" t="str">
        <x:v>Gaswerksiedlung</x:v>
      </x:c>
      <x:c r="D41" s="36" t="n">
        <x:v>45967</x:v>
      </x:c>
      <x:c r="E41" s="35" t="str">
        <x:v>GWS-2025_08</x:v>
      </x:c>
      <x:c r="F41" s="35" t="str">
        <x:v>EUR 1166.83</x:v>
      </x:c>
      <x:c r="G41" s="36" t="n">
        <x:v>45969</x:v>
      </x:c>
      <x:c r="H41" s="35" t="str">
        <x:v>EUR -1166.83</x:v>
      </x:c>
      <x:c r="I41" s="37" t="str">
        <x:v>Gaswerksiedlung Berlin GmbH</x:v>
      </x:c>
      <x:c r="J41" s="37" t="str">
        <x:v>Vendor and amount match; 2 days after invoice. Confirm service period. Existing non-Drive evidence is already recorded.</x:v>
      </x:c>
      <x:c r="K41" s="35" t="str">
        <x:v>https://drive.google.com/file/d/1mcfjCXF-9QYTYnjTnbjl6DS34td6TFB6/view?usp=drivesdk</x:v>
      </x:c>
      <x:c r="L41" s="37" t="str"/>
    </x:row>
    <x:row r="42">
      <x:c r="A42" s="35" t="str">
        <x:v>Needs review</x:v>
      </x:c>
      <x:c r="B42" s="35" t="str">
        <x:v>Exact amount · check period</x:v>
      </x:c>
      <x:c r="C42" s="35" t="str">
        <x:v>Gaswerksiedlung</x:v>
      </x:c>
      <x:c r="D42" s="36" t="n">
        <x:v>46063</x:v>
      </x:c>
      <x:c r="E42" s="35" t="str">
        <x:v>GWS-2026_02</x:v>
      </x:c>
      <x:c r="F42" s="35" t="str">
        <x:v>EUR 1166.83</x:v>
      </x:c>
      <x:c r="G42" s="36" t="n">
        <x:v>46055</x:v>
      </x:c>
      <x:c r="H42" s="35" t="str">
        <x:v>EUR -1166.83</x:v>
      </x:c>
      <x:c r="I42" s="37" t="str">
        <x:v>Gaswerksiedlung Berlin GmbH Sent</x:v>
      </x:c>
      <x:c r="J42" s="37" t="str">
        <x:v>Vendor and amount match; 8 days before invoice. Confirm service period.</x:v>
      </x:c>
      <x:c r="K42" s="35" t="str">
        <x:v>https://drive.google.com/file/d/189x11rmvdLuxJmL0t5ppRCk3lz-nv70K/view?usp=drivesdk</x:v>
      </x:c>
      <x:c r="L42" s="37" t="str"/>
    </x:row>
    <x:row r="43">
      <x:c r="A43" s="35" t="str">
        <x:v>Needs review</x:v>
      </x:c>
      <x:c r="B43" s="35" t="str">
        <x:v>Exact amount · check period</x:v>
      </x:c>
      <x:c r="C43" s="35" t="str">
        <x:v>Gaswerksiedlung</x:v>
      </x:c>
      <x:c r="D43" s="36" t="n">
        <x:v>46091</x:v>
      </x:c>
      <x:c r="E43" s="35" t="str">
        <x:v>GWS-2026_03</x:v>
      </x:c>
      <x:c r="F43" s="35" t="str">
        <x:v>EUR 1166.83</x:v>
      </x:c>
      <x:c r="G43" s="36" t="n">
        <x:v>46125</x:v>
      </x:c>
      <x:c r="H43" s="35" t="str">
        <x:v>EUR -1166.83</x:v>
      </x:c>
      <x:c r="I43" s="37" t="str">
        <x:v>Gaswerksiedlung Berlin GmbH Sent</x:v>
      </x:c>
      <x:c r="J43" s="37" t="str">
        <x:v>Vendor and amount match; 34 days after invoice. Confirm service period.</x:v>
      </x:c>
      <x:c r="K43" s="35" t="str">
        <x:v>https://drive.google.com/file/d/1vHfn9EkP2uDzMG5ItgFwMVOi65jJjJSD/view?usp=drivesdk</x:v>
      </x:c>
      <x:c r="L43" s="37" t="str"/>
    </x:row>
    <x:row r="44">
      <x:c r="A44" s="35" t="str">
        <x:v>Needs review</x:v>
      </x:c>
      <x:c r="B44" s="35" t="str">
        <x:v>Exact amount · check period</x:v>
      </x:c>
      <x:c r="C44" s="35" t="str">
        <x:v>Gaswerksiedlung</x:v>
      </x:c>
      <x:c r="D44" s="36" t="n">
        <x:v>46091</x:v>
      </x:c>
      <x:c r="E44" s="35" t="str">
        <x:v>GWS-2026_04</x:v>
      </x:c>
      <x:c r="F44" s="35" t="str">
        <x:v>EUR 1166.83</x:v>
      </x:c>
      <x:c r="G44" s="36" t="n">
        <x:v>46106</x:v>
      </x:c>
      <x:c r="H44" s="35" t="str">
        <x:v>EUR -1166.83</x:v>
      </x:c>
      <x:c r="I44" s="37" t="str">
        <x:v>Gaswerksiedlung Berlin GmbH Sent</x:v>
      </x:c>
      <x:c r="J44" s="37" t="str">
        <x:v>Vendor and amount match; 15 days after invoice. Confirm service period.</x:v>
      </x:c>
      <x:c r="K44" s="35" t="str">
        <x:v>https://drive.google.com/file/d/1mgqE1V3xbi7d2i64-CSiAiS5pd4i_Y0A/view?usp=drivesdk</x:v>
      </x:c>
      <x:c r="L44" s="37" t="str"/>
    </x:row>
    <x:row r="45">
      <x:c r="A45" s="35" t="str">
        <x:v>Needs review</x:v>
      </x:c>
      <x:c r="B45" s="35" t="str">
        <x:v>Exact amount · check period</x:v>
      </x:c>
      <x:c r="C45" s="35" t="str">
        <x:v>Vast.ai</x:v>
      </x:c>
      <x:c r="D45" s="36" t="n">
        <x:v>46022</x:v>
      </x:c>
      <x:c r="E45" s="35" t="str">
        <x:v>396700251231260130</x:v>
      </x:c>
      <x:c r="F45" s="35" t="str">
        <x:v>USD 500.00</x:v>
      </x:c>
      <x:c r="G45" s="36" t="n">
        <x:v>46064</x:v>
      </x:c>
      <x:c r="H45" s="35" t="str">
        <x:v>EUR -421.39</x:v>
      </x:c>
      <x:c r="I45" s="37" t="str">
        <x:v>Vast.ai</x:v>
      </x:c>
      <x:c r="J45" s="37" t="str">
        <x:v>Vendor and amount match; 42 days after invoice. Confirm service period.</x:v>
      </x:c>
      <x:c r="K45" s="35" t="str">
        <x:v>https://drive.google.com/file/d/1UqGJ0GdnxCZJC8kUZ10anpsiiIM9HkcD/view?usp=drivesdk</x:v>
      </x:c>
      <x:c r="L45" s="37" t="str"/>
    </x:row>
    <x:row r="46">
      <x:c r="A46" s="35" t="str">
        <x:v>Needs review</x:v>
      </x:c>
      <x:c r="B46" s="35" t="str">
        <x:v>Exact amount · check period</x:v>
      </x:c>
      <x:c r="C46" s="35" t="str">
        <x:v>Vast.ai</x:v>
      </x:c>
      <x:c r="D46" s="36" t="n">
        <x:v>46054</x:v>
      </x:c>
      <x:c r="E46" s="35" t="str">
        <x:v>396700-2476090</x:v>
      </x:c>
      <x:c r="F46" s="35" t="str">
        <x:v>USD 500.00</x:v>
      </x:c>
      <x:c r="G46" s="36" t="n">
        <x:v>46077</x:v>
      </x:c>
      <x:c r="H46" s="35" t="str">
        <x:v>EUR -426.54</x:v>
      </x:c>
      <x:c r="I46" s="37" t="str">
        <x:v>Vast.ai</x:v>
      </x:c>
      <x:c r="J46" s="37" t="str">
        <x:v>Vendor and amount match; 23 days after invoice. Confirm service period.</x:v>
      </x:c>
      <x:c r="K46" s="35" t="str">
        <x:v>https://drive.google.com/file/d/1e5eHO9cl6gXWDXdqUJ2KrNOyNVbWYv6K/view?usp=drivesdk</x:v>
      </x:c>
      <x:c r="L46" s="37" t="str"/>
    </x:row>
    <x:row r="47">
      <x:c r="A47" s="35" t="str">
        <x:v>Needs review</x:v>
      </x:c>
      <x:c r="B47" s="35" t="str">
        <x:v>Exact amount · check period</x:v>
      </x:c>
      <x:c r="C47" s="35" t="str">
        <x:v>Vast.ai</x:v>
      </x:c>
      <x:c r="D47" s="36" t="n">
        <x:v>46054</x:v>
      </x:c>
      <x:c r="E47" s="35" t="str">
        <x:v>396700-2499989</x:v>
      </x:c>
      <x:c r="F47" s="35" t="str">
        <x:v>USD 500.00</x:v>
      </x:c>
      <x:c r="G47" s="36" t="n">
        <x:v>46058</x:v>
      </x:c>
      <x:c r="H47" s="35" t="str">
        <x:v>EUR -426.09</x:v>
      </x:c>
      <x:c r="I47" s="37" t="str">
        <x:v>Vast.ai</x:v>
      </x:c>
      <x:c r="J47" s="37" t="str">
        <x:v>Vendor and amount match; 4 days after invoice. Confirm service period.</x:v>
      </x:c>
      <x:c r="K47" s="35" t="str">
        <x:v>https://drive.google.com/file/d/1TcgTXbpzPiEv16Zll4wBnmOp1C58-0Wl/view?usp=drivesdk</x:v>
      </x:c>
      <x:c r="L47" s="37" t="str"/>
    </x:row>
    <x:row r="48">
      <x:c r="A48" s="35" t="str">
        <x:v>Needs review</x:v>
      </x:c>
      <x:c r="B48" s="35" t="str">
        <x:v>Exact amount · check period</x:v>
      </x:c>
      <x:c r="C48" s="35" t="str">
        <x:v>Vast.ai</x:v>
      </x:c>
      <x:c r="D48" s="36" t="n">
        <x:v>46054</x:v>
      </x:c>
      <x:c r="E48" s="35" t="str">
        <x:v>396700-2516341</x:v>
      </x:c>
      <x:c r="F48" s="35" t="str">
        <x:v>USD 500.00</x:v>
      </x:c>
      <x:c r="G48" s="36" t="n">
        <x:v>46052</x:v>
      </x:c>
      <x:c r="H48" s="35" t="str">
        <x:v>EUR -421.46</x:v>
      </x:c>
      <x:c r="I48" s="37" t="str">
        <x:v>Vast.ai</x:v>
      </x:c>
      <x:c r="J48" s="37" t="str">
        <x:v>Vendor and amount match; 2 days before invoice. Confirm service period.</x:v>
      </x:c>
      <x:c r="K48" s="35" t="str">
        <x:v>https://drive.google.com/file/d/1lWoD1Vzzgm89JzuaKED6OWalw91KWM3B/view?usp=drivesdk</x:v>
      </x:c>
      <x:c r="L48" s="37" t="str"/>
    </x:row>
    <x:row r="49">
      <x:c r="A49" s="35" t="str">
        <x:v>Needs review</x:v>
      </x:c>
      <x:c r="B49" s="35" t="str">
        <x:v>Exact amount · check period</x:v>
      </x:c>
      <x:c r="C49" s="35" t="str">
        <x:v>Vast.ai</x:v>
      </x:c>
      <x:c r="D49" s="36" t="n">
        <x:v>46097</x:v>
      </x:c>
      <x:c r="E49" s="35" t="str">
        <x:v>396700260201260316</x:v>
      </x:c>
      <x:c r="F49" s="35" t="str">
        <x:v>USD 500.00</x:v>
      </x:c>
      <x:c r="G49" s="36" t="n">
        <x:v>46072</x:v>
      </x:c>
      <x:c r="H49" s="35" t="str">
        <x:v>EUR -427.03</x:v>
      </x:c>
      <x:c r="I49" s="37" t="str">
        <x:v>Vast.ai</x:v>
      </x:c>
      <x:c r="J49" s="37" t="str">
        <x:v>Vendor and amount match; 25 days before invoice. Confirm service period.</x:v>
      </x:c>
      <x:c r="K49" s="35" t="str">
        <x:v>https://drive.google.com/file/d/1U47p5XeIa_WxWKHYsczA1Oz_2D_3PNbS/view?usp=drivesdk</x:v>
      </x:c>
      <x:c r="L49" s="37" t="str"/>
    </x:row>
    <x:row r="50">
      <x:c r="A50" s="35" t="str">
        <x:v>Needs review</x:v>
      </x:c>
      <x:c r="B50" s="35" t="str">
        <x:v>Exact amount · check period</x:v>
      </x:c>
      <x:c r="C50" s="35" t="str">
        <x:v>Windsurf</x:v>
      </x:c>
      <x:c r="D50" s="36" t="n">
        <x:v>45911</x:v>
      </x:c>
      <x:c r="E50" s="35" t="str">
        <x:v>QWC8RYCF-0011</x:v>
      </x:c>
      <x:c r="F50" s="35" t="str">
        <x:v>USD 40.00</x:v>
      </x:c>
      <x:c r="G50" s="36" t="n">
        <x:v>45899</x:v>
      </x:c>
      <x:c r="H50" s="35" t="str">
        <x:v>EUR -34.39</x:v>
      </x:c>
      <x:c r="I50" s="37" t="str">
        <x:v>Windsurf WINDSURF.COM</x:v>
      </x:c>
      <x:c r="J50" s="37" t="str">
        <x:v>Vendor and amount match; 12 days before invoice. Confirm service period.</x:v>
      </x:c>
      <x:c r="K50" s="35" t="str">
        <x:v>https://drive.google.com/file/d/1NsAPOebwVMWw9utEi77ZvSlI81qjeAj-/view?usp=drivesdk</x:v>
      </x:c>
      <x:c r="L50" s="37" t="str"/>
    </x:row>
    <x:row r="51">
      <x:c r="A51" s="35" t="str">
        <x:v>Needs review</x:v>
      </x:c>
      <x:c r="B51" s="35" t="str">
        <x:v>Likely FX conversion</x:v>
      </x:c>
      <x:c r="C51" s="35" t="str">
        <x:v>Unclassified</x:v>
      </x:c>
      <x:c r="D51" s="36" t="n">
        <x:v>46154</x:v>
      </x:c>
      <x:c r="E51" s="35" t="str">
        <x:v>NO766TL8 3035</x:v>
      </x:c>
      <x:c r="F51" s="35" t="str">
        <x:v>USD 5.00</x:v>
      </x:c>
      <x:c r="G51" s="36" t="n">
        <x:v>46174</x:v>
      </x:c>
      <x:c r="H51" s="35" t="str">
        <x:v>EUR 4.30</x:v>
      </x:c>
      <x:c r="I51" s="37" t="str">
        <x:v>STRIPE</x:v>
      </x:c>
      <x:c r="J51" s="37" t="str">
        <x:v>Likely FX conversion; 20 days after invoice. Confirm original card amount.</x:v>
      </x:c>
      <x:c r="K51" s="35" t="str">
        <x:v>https://drive.google.com/file/d/1klLtss0LhboC-mc63GOpmZKikThcHWZE/view?usp=drivesdk</x:v>
      </x:c>
      <x:c r="L51" s="37" t="str"/>
    </x:row>
    <x:row r="52">
      <x:c r="A52" s="35" t="str">
        <x:v>Needs review</x:v>
      </x:c>
      <x:c r="B52" s="35" t="str">
        <x:v>Likely FX conversion</x:v>
      </x:c>
      <x:c r="C52" s="35" t="str">
        <x:v>Buffer</x:v>
      </x:c>
      <x:c r="D52" s="36" t="n">
        <x:v>46030</x:v>
      </x:c>
      <x:c r="E52" s="35" t="str">
        <x:v>R10DIM1A-0001</x:v>
      </x:c>
      <x:c r="F52" s="35" t="str">
        <x:v>USD 36.00</x:v>
      </x:c>
      <x:c r="G52" s="36" t="n">
        <x:v>46030</x:v>
      </x:c>
      <x:c r="H52" s="35" t="str">
        <x:v>EUR -32.09</x:v>
      </x:c>
      <x:c r="I52" s="37" t="str">
        <x:v>Buffer</x:v>
      </x:c>
      <x:c r="J52" s="37" t="str">
        <x:v>Likely FX conversion; same day. Confirm original card amount.</x:v>
      </x:c>
      <x:c r="K52" s="35" t="str">
        <x:v>https://drive.google.com/file/d/1jDG7IeELzuAQHB1sxEbGkHc4ogKdvQud/view?usp=drivesdk</x:v>
      </x:c>
      <x:c r="L52" s="37" t="str"/>
    </x:row>
    <x:row r="53">
      <x:c r="A53" s="35" t="str">
        <x:v>Needs review</x:v>
      </x:c>
      <x:c r="B53" s="35" t="str">
        <x:v>Likely FX conversion</x:v>
      </x:c>
      <x:c r="C53" s="35" t="str">
        <x:v>Buffer</x:v>
      </x:c>
      <x:c r="D53" s="36" t="n">
        <x:v>46030</x:v>
      </x:c>
      <x:c r="E53" s="35" t="str">
        <x:v>R10DIM1A-0002</x:v>
      </x:c>
      <x:c r="F53" s="35" t="str">
        <x:v>USD 12.00</x:v>
      </x:c>
      <x:c r="G53" s="36" t="n">
        <x:v>46030</x:v>
      </x:c>
      <x:c r="H53" s="35" t="str">
        <x:v>EUR -10.70</x:v>
      </x:c>
      <x:c r="I53" s="37" t="str">
        <x:v>Buffer</x:v>
      </x:c>
      <x:c r="J53" s="37" t="str">
        <x:v>Likely FX conversion; same day. Confirm original card amount.</x:v>
      </x:c>
      <x:c r="K53" s="35" t="str">
        <x:v>https://drive.google.com/file/d/1wnSYwnDf_EfPQreOezauMNQ1rirvZ1iw/view?usp=drivesdk</x:v>
      </x:c>
      <x:c r="L53" s="37" t="str"/>
    </x:row>
    <x:row r="54">
      <x:c r="A54" s="35" t="str">
        <x:v>Needs review</x:v>
      </x:c>
      <x:c r="B54" s="35" t="str">
        <x:v>Likely FX conversion</x:v>
      </x:c>
      <x:c r="C54" s="35" t="str">
        <x:v>Buffer</x:v>
      </x:c>
      <x:c r="D54" s="36" t="n">
        <x:v>46061</x:v>
      </x:c>
      <x:c r="E54" s="35" t="str">
        <x:v>R10DIM1A-0003</x:v>
      </x:c>
      <x:c r="F54" s="35" t="str">
        <x:v>USD 48.00</x:v>
      </x:c>
      <x:c r="G54" s="36" t="n">
        <x:v>46061</x:v>
      </x:c>
      <x:c r="H54" s="35" t="str">
        <x:v>EUR -42.79</x:v>
      </x:c>
      <x:c r="I54" s="37" t="str">
        <x:v>Buffer</x:v>
      </x:c>
      <x:c r="J54" s="37" t="str">
        <x:v>Likely FX conversion; same day. Confirm original card amount.</x:v>
      </x:c>
      <x:c r="K54" s="35" t="str">
        <x:v>https://drive.google.com/file/d/1PTAgfpjAiZSKjGus8O1cocw_DNj-1N4e/view?usp=drivesdk</x:v>
      </x:c>
      <x:c r="L54" s="37" t="str"/>
    </x:row>
    <x:row r="55">
      <x:c r="A55" s="35" t="str">
        <x:v>Needs review</x:v>
      </x:c>
      <x:c r="B55" s="35" t="str">
        <x:v>Likely FX conversion</x:v>
      </x:c>
      <x:c r="C55" s="35" t="str">
        <x:v>Buffer</x:v>
      </x:c>
      <x:c r="D55" s="36" t="n">
        <x:v>46089</x:v>
      </x:c>
      <x:c r="E55" s="35" t="str">
        <x:v>R10DIM1A-0004</x:v>
      </x:c>
      <x:c r="F55" s="35" t="str">
        <x:v>USD 48.00</x:v>
      </x:c>
      <x:c r="G55" s="36" t="n">
        <x:v>46089</x:v>
      </x:c>
      <x:c r="H55" s="35" t="str">
        <x:v>EUR -42.79</x:v>
      </x:c>
      <x:c r="I55" s="37" t="str">
        <x:v>Buffer</x:v>
      </x:c>
      <x:c r="J55" s="37" t="str">
        <x:v>Likely FX conversion; same day. Confirm original card amount.</x:v>
      </x:c>
      <x:c r="K55" s="35" t="str">
        <x:v>https://drive.google.com/file/d/1T8wsSkhv0Pmk-F4bvLFFiFdBd1XZeuk5/view?usp=drivesdk</x:v>
      </x:c>
      <x:c r="L55" s="37" t="str"/>
    </x:row>
    <x:row r="56">
      <x:c r="A56" s="35" t="str">
        <x:v>Needs review</x:v>
      </x:c>
      <x:c r="B56" s="35" t="str">
        <x:v>Likely FX conversion</x:v>
      </x:c>
      <x:c r="C56" s="35" t="str">
        <x:v>Buffer</x:v>
      </x:c>
      <x:c r="D56" s="36" t="n">
        <x:v>46120</x:v>
      </x:c>
      <x:c r="E56" s="35" t="str">
        <x:v>R10DIM1A-0005</x:v>
      </x:c>
      <x:c r="F56" s="35" t="str">
        <x:v>USD 48.00</x:v>
      </x:c>
      <x:c r="G56" s="36" t="n">
        <x:v>46120</x:v>
      </x:c>
      <x:c r="H56" s="35" t="str">
        <x:v>EUR -42.79</x:v>
      </x:c>
      <x:c r="I56" s="37" t="str">
        <x:v>Buffer</x:v>
      </x:c>
      <x:c r="J56" s="37" t="str">
        <x:v>Likely FX conversion; same day. Confirm original card amount.</x:v>
      </x:c>
      <x:c r="K56" s="35" t="str">
        <x:v>https://drive.google.com/file/d/1osaWFL_SSrNwsQPStItvvG72IDdQOAng/view?usp=drivesdk</x:v>
      </x:c>
      <x:c r="L56" s="37" t="str"/>
    </x:row>
    <x:row r="57">
      <x:c r="A57" s="35" t="str">
        <x:v>Needs review</x:v>
      </x:c>
      <x:c r="B57" s="35" t="str">
        <x:v>Likely FX conversion</x:v>
      </x:c>
      <x:c r="C57" s="35" t="str">
        <x:v>Buffer</x:v>
      </x:c>
      <x:c r="D57" s="36" t="n">
        <x:v>46150</x:v>
      </x:c>
      <x:c r="E57" s="35" t="str">
        <x:v>R10DIM1A 0006</x:v>
      </x:c>
      <x:c r="F57" s="35" t="str">
        <x:v>USD 48.00</x:v>
      </x:c>
      <x:c r="G57" s="36" t="n">
        <x:v>46150</x:v>
      </x:c>
      <x:c r="H57" s="35" t="str">
        <x:v>EUR -42.79</x:v>
      </x:c>
      <x:c r="I57" s="37" t="str">
        <x:v>Buffer</x:v>
      </x:c>
      <x:c r="J57" s="37" t="str">
        <x:v>Likely FX conversion; same day. Confirm original card amount.</x:v>
      </x:c>
      <x:c r="K57" s="35" t="str">
        <x:v>https://drive.google.com/file/d/1iVaFlExsix7wlm3ybGxVMILXeuBYUx2l/view?usp=drivesdk</x:v>
      </x:c>
      <x:c r="L57" s="37" t="str"/>
    </x:row>
    <x:row r="58">
      <x:c r="A58" s="35" t="str">
        <x:v>Needs review</x:v>
      </x:c>
      <x:c r="B58" s="35" t="str">
        <x:v>Likely FX conversion</x:v>
      </x:c>
      <x:c r="C58" s="35" t="str">
        <x:v>Buffer</x:v>
      </x:c>
      <x:c r="D58" s="36" t="n">
        <x:v>46181</x:v>
      </x:c>
      <x:c r="E58" s="35" t="str">
        <x:v>R10DIM1A 0007</x:v>
      </x:c>
      <x:c r="F58" s="35" t="str">
        <x:v>USD 24.00</x:v>
      </x:c>
      <x:c r="G58" s="36" t="n">
        <x:v>46181</x:v>
      </x:c>
      <x:c r="H58" s="35" t="str">
        <x:v>EUR -21.39</x:v>
      </x:c>
      <x:c r="I58" s="37" t="str">
        <x:v>Buffer</x:v>
      </x:c>
      <x:c r="J58" s="37" t="str">
        <x:v>Likely FX conversion; same day. Confirm original card amount.</x:v>
      </x:c>
      <x:c r="K58" s="35" t="str">
        <x:v>https://drive.google.com/file/d/12Jt_IgraKEv3Hs2jLLr6UYxepiYNB257/view?usp=drivesdk</x:v>
      </x:c>
      <x:c r="L58" s="37" t="str"/>
    </x:row>
    <x:row r="59">
      <x:c r="A59" s="35" t="str">
        <x:v>Needs review</x:v>
      </x:c>
      <x:c r="B59" s="35" t="str">
        <x:v>Likely FX conversion</x:v>
      </x:c>
      <x:c r="C59" s="35" t="str">
        <x:v>Conception Am Ricas</x:v>
      </x:c>
      <x:c r="D59" s="36" t="n">
        <x:v>45978</x:v>
      </x:c>
      <x:c r="E59" s="35" t="str">
        <x:v>2025-00006</x:v>
      </x:c>
      <x:c r="F59" s="35" t="str">
        <x:v>BRL 16000.00</x:v>
      </x:c>
      <x:c r="G59" s="36" t="n">
        <x:v>45992</x:v>
      </x:c>
      <x:c r="H59" s="35" t="str">
        <x:v>EUR 2484.11</x:v>
      </x:c>
      <x:c r="I59" s="37" t="str">
        <x:v>STRIPE</x:v>
      </x:c>
      <x:c r="J59" s="37" t="str">
        <x:v>Likely FX conversion; 14 days after invoice. Confirm original card amount. Existing non-Drive evidence is already recorded.</x:v>
      </x:c>
      <x:c r="K59" s="35" t="str">
        <x:v>https://drive.google.com/file/d/1dwPfAdu9bbx4mL3gHreZKApsVoYDARbY/view?usp=drivesdk</x:v>
      </x:c>
      <x:c r="L59" s="37" t="str"/>
    </x:row>
    <x:row r="60">
      <x:c r="A60" s="35" t="str">
        <x:v>Needs review</x:v>
      </x:c>
      <x:c r="B60" s="35" t="str">
        <x:v>Likely FX conversion</x:v>
      </x:c>
      <x:c r="C60" s="35" t="str">
        <x:v>F Silva Fl Via</x:v>
      </x:c>
      <x:c r="D60" s="36" t="n">
        <x:v>45954</x:v>
      </x:c>
      <x:c r="E60" s="35" t="str">
        <x:v>2025-00005</x:v>
      </x:c>
      <x:c r="F60" s="35" t="str">
        <x:v>BRL 12126.27</x:v>
      </x:c>
      <x:c r="G60" s="36" t="n">
        <x:v>45964</x:v>
      </x:c>
      <x:c r="H60" s="35" t="str">
        <x:v>EUR 1854.52</x:v>
      </x:c>
      <x:c r="I60" s="37" t="str">
        <x:v>STRIPE</x:v>
      </x:c>
      <x:c r="J60" s="37" t="str">
        <x:v>Likely FX conversion; 10 days after invoice. Confirm original card amount. Existing non-Drive evidence is already recorded.</x:v>
      </x:c>
      <x:c r="K60" s="35" t="str">
        <x:v>https://drive.google.com/file/d/1rHytgClfiK6W61QRKbRptJVju8tn8nMu/view?usp=drivesdk</x:v>
      </x:c>
      <x:c r="L60" s="37" t="str"/>
    </x:row>
    <x:row r="61">
      <x:c r="A61" s="35" t="str">
        <x:v>Needs review</x:v>
      </x:c>
      <x:c r="B61" s="35" t="str">
        <x:v>Likely FX conversion</x:v>
      </x:c>
      <x:c r="C61" s="35" t="str">
        <x:v>io.net</x:v>
      </x:c>
      <x:c r="D61" s="36" t="n">
        <x:v>46020</x:v>
      </x:c>
      <x:c r="E61" s="35" t="str">
        <x:v>1249</x:v>
      </x:c>
      <x:c r="F61" s="35" t="str">
        <x:v>USD 1030.00</x:v>
      </x:c>
      <x:c r="G61" s="36" t="n">
        <x:v>46020</x:v>
      </x:c>
      <x:c r="H61" s="35" t="str">
        <x:v>EUR -908.87</x:v>
      </x:c>
      <x:c r="I61" s="37" t="str">
        <x:v>Io.net Inc IO.NET</x:v>
      </x:c>
      <x:c r="J61" s="37" t="str">
        <x:v>Likely FX conversion; same day. Confirm original card amount.</x:v>
      </x:c>
      <x:c r="K61" s="35" t="str">
        <x:v>https://drive.google.com/file/d/1-sEKbAyblJWlLeD0djCrjUgRqoUGXtZQ/view?usp=drivesdk</x:v>
      </x:c>
      <x:c r="L61" s="37" t="str"/>
    </x:row>
    <x:row r="62">
      <x:c r="A62" s="35" t="str">
        <x:v>Needs review</x:v>
      </x:c>
      <x:c r="B62" s="35" t="str">
        <x:v>Likely FX conversion</x:v>
      </x:c>
      <x:c r="C62" s="35" t="str">
        <x:v>io.net</x:v>
      </x:c>
      <x:c r="D62" s="36" t="n">
        <x:v>46035</x:v>
      </x:c>
      <x:c r="E62" s="35" t="str">
        <x:v>1285</x:v>
      </x:c>
      <x:c r="F62" s="35" t="str">
        <x:v>USD 515.00</x:v>
      </x:c>
      <x:c r="G62" s="36" t="n">
        <x:v>46035</x:v>
      </x:c>
      <x:c r="H62" s="35" t="str">
        <x:v>EUR -458.99</x:v>
      </x:c>
      <x:c r="I62" s="37" t="str">
        <x:v>Io.net Inc</x:v>
      </x:c>
      <x:c r="J62" s="37" t="str">
        <x:v>Likely FX conversion; same day. Confirm original card amount.</x:v>
      </x:c>
      <x:c r="K62" s="35" t="str">
        <x:v>https://drive.google.com/file/d/1RYbYIdTxQKqslP3xwyhcCgL1oYSjGtdl/view?usp=drivesdk</x:v>
      </x:c>
      <x:c r="L62" s="37" t="str"/>
    </x:row>
    <x:row r="63">
      <x:c r="A63" s="35" t="str">
        <x:v>Needs review</x:v>
      </x:c>
      <x:c r="B63" s="35" t="str">
        <x:v>Likely FX conversion</x:v>
      </x:c>
      <x:c r="C63" s="35" t="str">
        <x:v>io.net</x:v>
      </x:c>
      <x:c r="D63" s="36" t="n">
        <x:v>46041</x:v>
      </x:c>
      <x:c r="E63" s="35" t="str">
        <x:v>1286</x:v>
      </x:c>
      <x:c r="F63" s="35" t="str">
        <x:v>USD 515.00</x:v>
      </x:c>
      <x:c r="G63" s="36" t="n">
        <x:v>46041</x:v>
      </x:c>
      <x:c r="H63" s="35" t="str">
        <x:v>EUR -459.95</x:v>
      </x:c>
      <x:c r="I63" s="37" t="str">
        <x:v>Io.net Inc</x:v>
      </x:c>
      <x:c r="J63" s="37" t="str">
        <x:v>Likely FX conversion; same day. Confirm original card amount.</x:v>
      </x:c>
      <x:c r="K63" s="35" t="str">
        <x:v>https://drive.google.com/file/d/1jam77NDPjZ7Z2pgRArZxJWxgZmPAr8iw/view?usp=drivesdk</x:v>
      </x:c>
      <x:c r="L63" s="37" t="str"/>
    </x:row>
    <x:row r="64">
      <x:c r="A64" s="35" t="str">
        <x:v>Needs review</x:v>
      </x:c>
      <x:c r="B64" s="35" t="str">
        <x:v>Likely FX conversion</x:v>
      </x:c>
      <x:c r="C64" s="35" t="str">
        <x:v>io.net</x:v>
      </x:c>
      <x:c r="D64" s="36" t="n">
        <x:v>46052</x:v>
      </x:c>
      <x:c r="E64" s="35" t="str">
        <x:v>1287</x:v>
      </x:c>
      <x:c r="F64" s="35" t="str">
        <x:v>USD 515.00</x:v>
      </x:c>
      <x:c r="G64" s="36" t="n">
        <x:v>46052</x:v>
      </x:c>
      <x:c r="H64" s="35" t="str">
        <x:v>EUR -450.83</x:v>
      </x:c>
      <x:c r="I64" s="37" t="str">
        <x:v>Io.net Inc</x:v>
      </x:c>
      <x:c r="J64" s="37" t="str">
        <x:v>Likely FX conversion; same day. Confirm original card amount.</x:v>
      </x:c>
      <x:c r="K64" s="35" t="str">
        <x:v>https://drive.google.com/file/d/1Uybk8LCcbGN7SNqCDWCKLfrDLk8QkJjS/view?usp=drivesdk</x:v>
      </x:c>
      <x:c r="L64" s="37" t="str"/>
    </x:row>
    <x:row r="65">
      <x:c r="A65" s="35" t="str">
        <x:v>Needs review</x:v>
      </x:c>
      <x:c r="B65" s="35" t="str">
        <x:v>Likely FX conversion</x:v>
      </x:c>
      <x:c r="C65" s="35" t="str">
        <x:v>Stripe</x:v>
      </x:c>
      <x:c r="D65" s="36" t="n">
        <x:v>45924</x:v>
      </x:c>
      <x:c r="E65" s="35" t="str">
        <x:v>2025-00004</x:v>
      </x:c>
      <x:c r="F65" s="35" t="str">
        <x:v>BRL 100000.00</x:v>
      </x:c>
      <x:c r="G65" s="36" t="n">
        <x:v>45931</x:v>
      </x:c>
      <x:c r="H65" s="35" t="str">
        <x:v>EUR 15213.04</x:v>
      </x:c>
      <x:c r="I65" s="37" t="str">
        <x:v>STRIPE</x:v>
      </x:c>
      <x:c r="J65" s="37" t="str">
        <x:v>Likely FX conversion; 7 days after invoice. Confirm original card amount. Existing non-Drive evidence is already recorded.</x:v>
      </x:c>
      <x:c r="K65" s="35" t="str">
        <x:v>https://drive.google.com/file/d/1oxHjHZZgL207Nz6GMVXDaHoDh4pqc7kz/view?usp=drivesdk</x:v>
      </x:c>
      <x:c r="L65" s="37" t="str"/>
    </x:row>
    <x:row r="66">
      <x:c r="A66" s="35" t="str">
        <x:v>Needs review</x:v>
      </x:c>
      <x:c r="B66" s="35" t="str">
        <x:v>Likely FX conversion</x:v>
      </x:c>
      <x:c r="C66" s="35" t="str">
        <x:v>Stripe</x:v>
      </x:c>
      <x:c r="D66" s="36" t="n">
        <x:v>46059</x:v>
      </x:c>
      <x:c r="E66" s="35" t="str">
        <x:v>POLAR-0001</x:v>
      </x:c>
      <x:c r="F66" s="35" t="str">
        <x:v>USD 4511.05</x:v>
      </x:c>
      <x:c r="G66" s="36" t="n">
        <x:v>46083</x:v>
      </x:c>
      <x:c r="H66" s="35" t="str">
        <x:v>EUR 4227.21</x:v>
      </x:c>
      <x:c r="I66" s="37" t="str">
        <x:v>STRIPE</x:v>
      </x:c>
      <x:c r="J66" s="37" t="str">
        <x:v>Likely FX conversion; 24 days after invoice. Confirm original card amount.</x:v>
      </x:c>
      <x:c r="K66" s="35" t="str">
        <x:v>https://drive.google.com/file/d/1z574sxK3Z_xITQKlH55ly7JDLM_Hr2Bf/view?usp=drivesdk</x:v>
      </x:c>
      <x:c r="L66" s="37" t="str"/>
    </x:row>
    <x:row r="67">
      <x:c r="A67" s="35" t="str">
        <x:v>Needs review</x:v>
      </x:c>
      <x:c r="B67" s="35" t="str">
        <x:v>Likely FX conversion</x:v>
      </x:c>
      <x:c r="C67" s="35" t="str">
        <x:v>Windsurf</x:v>
      </x:c>
      <x:c r="D67" s="36" t="n">
        <x:v>45855</x:v>
      </x:c>
      <x:c r="E67" s="35" t="str">
        <x:v>QWC8RYCF-0003</x:v>
      </x:c>
      <x:c r="F67" s="35" t="str">
        <x:v>USD 40.00</x:v>
      </x:c>
      <x:c r="G67" s="36" t="n">
        <x:v>45855</x:v>
      </x:c>
      <x:c r="H67" s="35" t="str">
        <x:v>EUR -35.91</x:v>
      </x:c>
      <x:c r="I67" s="37" t="str">
        <x:v>Windsurf WINDSURF.COM</x:v>
      </x:c>
      <x:c r="J67" s="37" t="str">
        <x:v>Likely FX conversion; same day. Confirm original card amount.</x:v>
      </x:c>
      <x:c r="K67" s="35" t="str">
        <x:v>https://drive.google.com/file/d/1YlLm3AgpAY5SBuwIzDv8gYkF06r01G4U/view?usp=drivesdk</x:v>
      </x:c>
      <x:c r="L67" s="37" t="str"/>
    </x:row>
    <x:row r="68">
      <x:c r="A68" s="35" t="str">
        <x:v>Needs review</x:v>
      </x:c>
      <x:c r="B68" s="35" t="str">
        <x:v>Likely FX conversion</x:v>
      </x:c>
      <x:c r="C68" s="35" t="str">
        <x:v>Windsurf</x:v>
      </x:c>
      <x:c r="D68" s="36" t="n">
        <x:v>45914</x:v>
      </x:c>
      <x:c r="E68" s="35" t="str">
        <x:v>QWC8RYCF-0013</x:v>
      </x:c>
      <x:c r="F68" s="35" t="str">
        <x:v>USD 40.00</x:v>
      </x:c>
      <x:c r="G68" s="36" t="n">
        <x:v>45914</x:v>
      </x:c>
      <x:c r="H68" s="35" t="str">
        <x:v>EUR -35.46</x:v>
      </x:c>
      <x:c r="I68" s="37" t="str">
        <x:v>Windsurf WINDSURF.COM</x:v>
      </x:c>
      <x:c r="J68" s="37" t="str">
        <x:v>Likely FX conversion; same day. Confirm original card amount.</x:v>
      </x:c>
      <x:c r="K68" s="35" t="str">
        <x:v>https://drive.google.com/file/d/13HBf_aDhFt5ldFVy2EbbYeoByRuX6QV_/view?usp=drivesdk</x:v>
      </x:c>
      <x:c r="L68" s="37" t="str"/>
    </x:row>
    <x:row r="69">
      <x:c r="A69" s="35" t="str">
        <x:v>Needs review</x:v>
      </x:c>
      <x:c r="B69" s="35" t="str">
        <x:v>Likely FX conversion</x:v>
      </x:c>
      <x:c r="C69" s="35" t="str">
        <x:v>Windsurf</x:v>
      </x:c>
      <x:c r="D69" s="36" t="n">
        <x:v>45929</x:v>
      </x:c>
      <x:c r="E69" s="35" t="str">
        <x:v>QWC8RYCF-0016</x:v>
      </x:c>
      <x:c r="F69" s="35" t="str">
        <x:v>USD 40.00</x:v>
      </x:c>
      <x:c r="G69" s="36" t="n">
        <x:v>45929</x:v>
      </x:c>
      <x:c r="H69" s="35" t="str">
        <x:v>EUR -35.47</x:v>
      </x:c>
      <x:c r="I69" s="37" t="str">
        <x:v>Windsurf +12018066945</x:v>
      </x:c>
      <x:c r="J69" s="37" t="str">
        <x:v>Likely FX conversion; same day. Confirm original card amount.</x:v>
      </x:c>
      <x:c r="K69" s="35" t="str">
        <x:v>https://drive.google.com/file/d/1csk4oLthCI8uPP6BR6eyEiIKac-ti_VP/view?usp=drivesdk</x:v>
      </x:c>
      <x:c r="L69" s="37" t="str"/>
    </x:row>
    <x:row r="70">
      <x:c r="A70" s="35" t="str">
        <x:v>Needs review</x:v>
      </x:c>
      <x:c r="B70" s="35" t="str">
        <x:v>Likely FX conversion</x:v>
      </x:c>
      <x:c r="C70" s="35" t="str">
        <x:v>Windsurf</x:v>
      </x:c>
      <x:c r="D70" s="36" t="n">
        <x:v>45935</x:v>
      </x:c>
      <x:c r="E70" s="35" t="str">
        <x:v>QWC8RYCF-0017</x:v>
      </x:c>
      <x:c r="F70" s="35" t="str">
        <x:v>USD 40.00</x:v>
      </x:c>
      <x:c r="G70" s="36" t="n">
        <x:v>45935</x:v>
      </x:c>
      <x:c r="H70" s="35" t="str">
        <x:v>EUR -35.49</x:v>
      </x:c>
      <x:c r="I70" s="37" t="str">
        <x:v>Windsurf WINDSURF.COM</x:v>
      </x:c>
      <x:c r="J70" s="37" t="str">
        <x:v>Likely FX conversion; same day. Confirm original card amount.</x:v>
      </x:c>
      <x:c r="K70" s="35" t="str">
        <x:v>https://drive.google.com/file/d/1arx_WysWa2ecPYmpEuRcMfy7z3aQbJwV/view?usp=drivesdk</x:v>
      </x:c>
      <x:c r="L70" s="37" t="str"/>
    </x:row>
    <x:row r="71">
      <x:c r="A71" s="35" t="str">
        <x:v>Needs review</x:v>
      </x:c>
      <x:c r="B71" s="35" t="str">
        <x:v>Likely FX conversion</x:v>
      </x:c>
      <x:c r="C71" s="35" t="str">
        <x:v>Windsurf</x:v>
      </x:c>
      <x:c r="D71" s="36" t="n">
        <x:v>45954</x:v>
      </x:c>
      <x:c r="E71" s="35" t="str">
        <x:v>QWC8RYCF-0022</x:v>
      </x:c>
      <x:c r="F71" s="35" t="str">
        <x:v>USD 40.00</x:v>
      </x:c>
      <x:c r="G71" s="36" t="n">
        <x:v>45954</x:v>
      </x:c>
      <x:c r="H71" s="35" t="str">
        <x:v>EUR -35.78</x:v>
      </x:c>
      <x:c r="I71" s="37" t="str">
        <x:v>Windsurf WINDSURF.COM</x:v>
      </x:c>
      <x:c r="J71" s="37" t="str">
        <x:v>Likely FX conversion; same day. Confirm original card amount.</x:v>
      </x:c>
      <x:c r="K71" s="35" t="str">
        <x:v>https://drive.google.com/file/d/1M2KA88gb7SFxHsfZrObzaxU27MBnDmjo/view?usp=drivesdk</x:v>
      </x:c>
      <x:c r="L71" s="37" t="str"/>
    </x:row>
    <x:row r="72">
      <x:c r="A72" s="35" t="str">
        <x:v>Needs review</x:v>
      </x:c>
      <x:c r="B72" s="35" t="str">
        <x:v>Likely FX conversion</x:v>
      </x:c>
      <x:c r="C72" s="35" t="str">
        <x:v>Windsurf</x:v>
      </x:c>
      <x:c r="D72" s="36" t="n">
        <x:v>45955</x:v>
      </x:c>
      <x:c r="E72" s="35" t="str">
        <x:v>QWC8RYCF-0023</x:v>
      </x:c>
      <x:c r="F72" s="35" t="str">
        <x:v>USD 40.00</x:v>
      </x:c>
      <x:c r="G72" s="36" t="n">
        <x:v>45956</x:v>
      </x:c>
      <x:c r="H72" s="35" t="str">
        <x:v>EUR -35.78</x:v>
      </x:c>
      <x:c r="I72" s="37" t="str">
        <x:v>Windsurf WINDSURF.COM</x:v>
      </x:c>
      <x:c r="J72" s="37" t="str">
        <x:v>Likely FX conversion; 1 day after invoice. Confirm original card amount.</x:v>
      </x:c>
      <x:c r="K72" s="35" t="str">
        <x:v>https://drive.google.com/file/d/1oXfyaF90VDN98owifFtQlutyyFnFpyKU/view?usp=drivesdk</x:v>
      </x:c>
      <x:c r="L72" s="37" t="str"/>
    </x:row>
    <x:row r="73">
      <x:c r="A73" s="35" t="str">
        <x:v>Needs review</x:v>
      </x:c>
      <x:c r="B73" s="35" t="str">
        <x:v>Likely FX conversion</x:v>
      </x:c>
      <x:c r="C73" s="35" t="str">
        <x:v>Windsurf</x:v>
      </x:c>
      <x:c r="D73" s="36" t="n">
        <x:v>45956</x:v>
      </x:c>
      <x:c r="E73" s="35" t="str">
        <x:v>QWC8RYCF-0024</x:v>
      </x:c>
      <x:c r="F73" s="35" t="str">
        <x:v>USD 40.00</x:v>
      </x:c>
      <x:c r="G73" s="36" t="n">
        <x:v>45956</x:v>
      </x:c>
      <x:c r="H73" s="35" t="str">
        <x:v>EUR -35.78</x:v>
      </x:c>
      <x:c r="I73" s="37" t="str">
        <x:v>Windsurf WINDSURF.COM</x:v>
      </x:c>
      <x:c r="J73" s="37" t="str">
        <x:v>Likely FX conversion; same day. Confirm original card amount.</x:v>
      </x:c>
      <x:c r="K73" s="35" t="str">
        <x:v>https://drive.google.com/file/d/1f6-2BSZfJV7BB6SIYK3zCOfJPCQiPKVG/view?usp=drivesdk</x:v>
      </x:c>
      <x:c r="L73" s="37" t="str"/>
    </x:row>
    <x:row r="74">
      <x:c r="A74" s="35" t="str">
        <x:v>Needs review</x:v>
      </x:c>
      <x:c r="B74" s="35" t="str">
        <x:v>Likely FX conversion</x:v>
      </x:c>
      <x:c r="C74" s="35" t="str">
        <x:v>Windsurf</x:v>
      </x:c>
      <x:c r="D74" s="36" t="n">
        <x:v>45957</x:v>
      </x:c>
      <x:c r="E74" s="35" t="str">
        <x:v>QWC8RYCF-0025</x:v>
      </x:c>
      <x:c r="F74" s="35" t="str">
        <x:v>USD 40.00</x:v>
      </x:c>
      <x:c r="G74" s="36" t="n">
        <x:v>45958</x:v>
      </x:c>
      <x:c r="H74" s="35" t="str">
        <x:v>EUR -35.72</x:v>
      </x:c>
      <x:c r="I74" s="37" t="str">
        <x:v>Windsurf WINDSURF.COM</x:v>
      </x:c>
      <x:c r="J74" s="37" t="str">
        <x:v>Likely FX conversion; 1 day after invoice. Confirm original card amount.</x:v>
      </x:c>
      <x:c r="K74" s="35" t="str">
        <x:v>https://drive.google.com/file/d/1gDDLlFPWzCxoM0Sj4g-Ae0WH0NaGzZCW/view?usp=drivesdk</x:v>
      </x:c>
      <x:c r="L74" s="37" t="str"/>
    </x:row>
    <x:row r="75">
      <x:c r="A75" s="35" t="str">
        <x:v>Needs review</x:v>
      </x:c>
      <x:c r="B75" s="35" t="str">
        <x:v>Likely FX conversion</x:v>
      </x:c>
      <x:c r="C75" s="35" t="str">
        <x:v>Windsurf</x:v>
      </x:c>
      <x:c r="D75" s="36" t="n">
        <x:v>45957</x:v>
      </x:c>
      <x:c r="E75" s="35" t="str">
        <x:v>QWC8RYCF-0026</x:v>
      </x:c>
      <x:c r="F75" s="35" t="str">
        <x:v>USD 40.00</x:v>
      </x:c>
      <x:c r="G75" s="36" t="n">
        <x:v>45958</x:v>
      </x:c>
      <x:c r="H75" s="35" t="str">
        <x:v>EUR -35.72</x:v>
      </x:c>
      <x:c r="I75" s="37" t="str">
        <x:v>Windsurf WINDSURF.COM</x:v>
      </x:c>
      <x:c r="J75" s="37" t="str">
        <x:v>Likely FX conversion; 1 day after invoice. Confirm original card amount.</x:v>
      </x:c>
      <x:c r="K75" s="35" t="str">
        <x:v>https://drive.google.com/file/d/1bEHTouNwy1CTe7wiO9DIXYpGyOLbID7i/view?usp=drivesdk</x:v>
      </x:c>
      <x:c r="L75" s="37" t="str"/>
    </x:row>
    <x:row r="76">
      <x:c r="A76" s="35" t="str">
        <x:v>Needs review</x:v>
      </x:c>
      <x:c r="B76" s="35" t="str">
        <x:v>Likely FX conversion</x:v>
      </x:c>
      <x:c r="C76" s="35" t="str">
        <x:v>Windsurf</x:v>
      </x:c>
      <x:c r="D76" s="36" t="n">
        <x:v>45961</x:v>
      </x:c>
      <x:c r="E76" s="35" t="str">
        <x:v>QWC8RYCF-0027</x:v>
      </x:c>
      <x:c r="F76" s="35" t="str">
        <x:v>USD 40.00</x:v>
      </x:c>
      <x:c r="G76" s="36" t="n">
        <x:v>45961</x:v>
      </x:c>
      <x:c r="H76" s="35" t="str">
        <x:v>EUR -36.10</x:v>
      </x:c>
      <x:c r="I76" s="37" t="str">
        <x:v>Windsurf WINDSURF.COM</x:v>
      </x:c>
      <x:c r="J76" s="37" t="str">
        <x:v>Likely FX conversion; same day. Confirm original card amount.</x:v>
      </x:c>
      <x:c r="K76" s="35" t="str">
        <x:v>https://drive.google.com/file/d/1dLBGE2OFhTKeCyVMvsm83RPBEF8shG-j/view?usp=drivesdk</x:v>
      </x:c>
      <x:c r="L76" s="37" t="str"/>
    </x:row>
    <x:row r="77">
      <x:c r="A77" s="35" t="str">
        <x:v>Needs review</x:v>
      </x:c>
      <x:c r="B77" s="35" t="str">
        <x:v>Likely FX conversion</x:v>
      </x:c>
      <x:c r="C77" s="35" t="str">
        <x:v>Windsurf</x:v>
      </x:c>
      <x:c r="D77" s="36" t="n">
        <x:v>45962</x:v>
      </x:c>
      <x:c r="E77" s="35" t="str">
        <x:v>QWC8RYCF-0028</x:v>
      </x:c>
      <x:c r="F77" s="35" t="str">
        <x:v>USD 40.00</x:v>
      </x:c>
      <x:c r="G77" s="36" t="n">
        <x:v>45963</x:v>
      </x:c>
      <x:c r="H77" s="35" t="str">
        <x:v>EUR -36.06</x:v>
      </x:c>
      <x:c r="I77" s="37" t="str">
        <x:v>Windsurf WINDSURF.COM</x:v>
      </x:c>
      <x:c r="J77" s="37" t="str">
        <x:v>Likely FX conversion; 1 day after invoice. Confirm original card amount.</x:v>
      </x:c>
      <x:c r="K77" s="35" t="str">
        <x:v>https://drive.google.com/file/d/1yEJw94Er1IcgG1v__ZCp1_PxOcJ_Kgwh/view?usp=drivesdk</x:v>
      </x:c>
      <x:c r="L77" s="37" t="str"/>
    </x:row>
    <x:row r="78">
      <x:c r="A78" s="35" t="str">
        <x:v>Needs review</x:v>
      </x:c>
      <x:c r="B78" s="35" t="str">
        <x:v>Likely FX conversion</x:v>
      </x:c>
      <x:c r="C78" s="35" t="str">
        <x:v>Windsurf</x:v>
      </x:c>
      <x:c r="D78" s="36" t="n">
        <x:v>45964</x:v>
      </x:c>
      <x:c r="E78" s="35" t="str">
        <x:v>QWC8RYCF-0030</x:v>
      </x:c>
      <x:c r="F78" s="35" t="str">
        <x:v>USD 40.00</x:v>
      </x:c>
      <x:c r="G78" s="36" t="n">
        <x:v>45965</x:v>
      </x:c>
      <x:c r="H78" s="35" t="str">
        <x:v>EUR -36.11</x:v>
      </x:c>
      <x:c r="I78" s="37" t="str">
        <x:v>Windsurf WINDSURF.COM</x:v>
      </x:c>
      <x:c r="J78" s="37" t="str">
        <x:v>Likely FX conversion; 1 day after invoice. Confirm original card amount.</x:v>
      </x:c>
      <x:c r="K78" s="35" t="str">
        <x:v>https://drive.google.com/file/d/1Sv1c7ErVbwoKQFScvk1Uqmsb2oBEh3bh/view?usp=drivesdk</x:v>
      </x:c>
      <x:c r="L78" s="37" t="str"/>
    </x:row>
    <x:row r="79">
      <x:c r="A79" s="35" t="str">
        <x:v>Needs review</x:v>
      </x:c>
      <x:c r="B79" s="35" t="str">
        <x:v>Likely FX conversion</x:v>
      </x:c>
      <x:c r="C79" s="35" t="str">
        <x:v>Windsurf</x:v>
      </x:c>
      <x:c r="D79" s="36" t="n">
        <x:v>45967</x:v>
      </x:c>
      <x:c r="E79" s="35" t="str">
        <x:v>QWC8RYCF-0032</x:v>
      </x:c>
      <x:c r="F79" s="35" t="str">
        <x:v>USD 40.00</x:v>
      </x:c>
      <x:c r="G79" s="36" t="n">
        <x:v>45967</x:v>
      </x:c>
      <x:c r="H79" s="35" t="str">
        <x:v>EUR -36.08</x:v>
      </x:c>
      <x:c r="I79" s="37" t="str">
        <x:v>Windsurf WINDSURF.COM</x:v>
      </x:c>
      <x:c r="J79" s="37" t="str">
        <x:v>Likely FX conversion; same day. Confirm original card amount.</x:v>
      </x:c>
      <x:c r="K79" s="35" t="str">
        <x:v>https://drive.google.com/file/d/1MT_vZPQg4vXZyescjC3BmtsDmb1UQks1/view?usp=drivesdk</x:v>
      </x:c>
      <x:c r="L79" s="37" t="str"/>
    </x:row>
    <x:row r="80">
      <x:c r="A80" s="35" t="str">
        <x:v>Needs review</x:v>
      </x:c>
      <x:c r="B80" s="35" t="str">
        <x:v>Likely FX conversion</x:v>
      </x:c>
      <x:c r="C80" s="35" t="str">
        <x:v>Windsurf</x:v>
      </x:c>
      <x:c r="D80" s="36" t="n">
        <x:v>45979</x:v>
      </x:c>
      <x:c r="E80" s="35" t="str">
        <x:v>QWC8RYCF-0039</x:v>
      </x:c>
      <x:c r="F80" s="35" t="str">
        <x:v>USD 40.00</x:v>
      </x:c>
      <x:c r="G80" s="36" t="n">
        <x:v>45979</x:v>
      </x:c>
      <x:c r="H80" s="35" t="str">
        <x:v>EUR -35.94</x:v>
      </x:c>
      <x:c r="I80" s="37" t="str">
        <x:v>Windsurf WINDSURF.COM</x:v>
      </x:c>
      <x:c r="J80" s="37" t="str">
        <x:v>Likely FX conversion; same day. Confirm original card amount.</x:v>
      </x:c>
      <x:c r="K80" s="35" t="str">
        <x:v>https://drive.google.com/file/d/1fXSZ1OtEkW2fDmvwAoy_WW1KXedcZ0oC/view?usp=drivesdk</x:v>
      </x:c>
      <x:c r="L80" s="37" t="str"/>
    </x:row>
    <x:row r="81">
      <x:c r="A81" s="35" t="str">
        <x:v>Needs review</x:v>
      </x:c>
      <x:c r="B81" s="35" t="str">
        <x:v>Likely FX conversion</x:v>
      </x:c>
      <x:c r="C81" s="35" t="str">
        <x:v>Windsurf</x:v>
      </x:c>
      <x:c r="D81" s="36" t="n">
        <x:v>45988</x:v>
      </x:c>
      <x:c r="E81" s="35" t="str">
        <x:v>QWC8RYCF-0043</x:v>
      </x:c>
      <x:c r="F81" s="35" t="str">
        <x:v>USD 40.00</x:v>
      </x:c>
      <x:c r="G81" s="36" t="n">
        <x:v>45988</x:v>
      </x:c>
      <x:c r="H81" s="35" t="str">
        <x:v>EUR -35.88</x:v>
      </x:c>
      <x:c r="I81" s="37" t="str">
        <x:v>Windsurf WINDSURF.COM</x:v>
      </x:c>
      <x:c r="J81" s="37" t="str">
        <x:v>Likely FX conversion; same day. Confirm original card amount.</x:v>
      </x:c>
      <x:c r="K81" s="35" t="str">
        <x:v>https://drive.google.com/file/d/1BOqHu5LbtdxtvXRrqEL8_OKeqkJWxosB/view?usp=drivesdk</x:v>
      </x:c>
      <x:c r="L81" s="37" t="str"/>
    </x:row>
    <x:row r="82">
      <x:c r="A82" s="35" t="str">
        <x:v>Needs review</x:v>
      </x:c>
      <x:c r="B82" s="35" t="str">
        <x:v>Likely FX conversion</x:v>
      </x:c>
      <x:c r="C82" s="35" t="str">
        <x:v>Windsurf</x:v>
      </x:c>
      <x:c r="D82" s="36" t="n">
        <x:v>45999</x:v>
      </x:c>
      <x:c r="E82" s="35" t="str">
        <x:v>QWC8RYCF-0048</x:v>
      </x:c>
      <x:c r="F82" s="35" t="str">
        <x:v>USD 40.00</x:v>
      </x:c>
      <x:c r="G82" s="36" t="n">
        <x:v>45999</x:v>
      </x:c>
      <x:c r="H82" s="35" t="str">
        <x:v>EUR -35.69</x:v>
      </x:c>
      <x:c r="I82" s="37" t="str">
        <x:v>Windsurf WINDSURF.COM</x:v>
      </x:c>
      <x:c r="J82" s="37" t="str">
        <x:v>Likely FX conversion; same day. Confirm original card amount.</x:v>
      </x:c>
      <x:c r="K82" s="35" t="str">
        <x:v>https://drive.google.com/file/d/1HuIB7wSVStsvhBIdlnkG39JshyDMKRTN/view?usp=drivesdk</x:v>
      </x:c>
      <x:c r="L82" s="37" t="str"/>
    </x:row>
    <x:row r="83">
      <x:c r="A83" s="35" t="str">
        <x:v>Needs review</x:v>
      </x:c>
      <x:c r="B83" s="35" t="str">
        <x:v>Likely FX conversion</x:v>
      </x:c>
      <x:c r="C83" s="35" t="str">
        <x:v>Windsurf</x:v>
      </x:c>
      <x:c r="D83" s="36" t="n">
        <x:v>46020</x:v>
      </x:c>
      <x:c r="E83" s="35" t="str">
        <x:v>QWC8RYCF-0053</x:v>
      </x:c>
      <x:c r="F83" s="35" t="str">
        <x:v>USD 40.00</x:v>
      </x:c>
      <x:c r="G83" s="36" t="n">
        <x:v>46020</x:v>
      </x:c>
      <x:c r="H83" s="35" t="str">
        <x:v>EUR -35.40</x:v>
      </x:c>
      <x:c r="I83" s="37" t="str">
        <x:v>Windsurf WINDSURF.COM</x:v>
      </x:c>
      <x:c r="J83" s="37" t="str">
        <x:v>Likely FX conversion; same day. Confirm original card amount.</x:v>
      </x:c>
      <x:c r="K83" s="35" t="str">
        <x:v>https://drive.google.com/file/d/1C1AN4f5ED1Bw_onjcqYXUjbb5jIZ_GoQ/view?usp=drivesdk</x:v>
      </x:c>
      <x:c r="L83" s="37" t="str"/>
    </x:row>
    <x:row r="84">
      <x:c r="A84" s="35" t="str">
        <x:v>Needs review</x:v>
      </x:c>
      <x:c r="B84" s="35" t="str">
        <x:v>Likely FX conversion</x:v>
      </x:c>
      <x:c r="C84" s="35" t="str">
        <x:v>Windsurf</x:v>
      </x:c>
      <x:c r="D84" s="36" t="n">
        <x:v>46072</x:v>
      </x:c>
      <x:c r="E84" s="35" t="str">
        <x:v>QWC8RYCF-0060</x:v>
      </x:c>
      <x:c r="F84" s="35" t="str">
        <x:v>USD 40.00</x:v>
      </x:c>
      <x:c r="G84" s="36" t="n">
        <x:v>46072</x:v>
      </x:c>
      <x:c r="H84" s="35" t="str">
        <x:v>EUR -35.34</x:v>
      </x:c>
      <x:c r="I84" s="37" t="str">
        <x:v>Windsurf AI</x:v>
      </x:c>
      <x:c r="J84" s="37" t="str">
        <x:v>Likely FX conversion; same day. Confirm original card amount.</x:v>
      </x:c>
      <x:c r="K84" s="35" t="str">
        <x:v>https://drive.google.com/file/d/1mCgbhzVAeM-3bTTx5l13ORkBWZwhWKhz/view?usp=drivesdk</x:v>
      </x:c>
      <x:c r="L84" s="37" t="str"/>
    </x:row>
  </x:sheetData>
  <x:mergeCells>
    <x:mergeCell ref="A1:L1"/>
    <x:mergeCell ref="A2:L2"/>
    <x:mergeCell ref="A3:L3"/>
  </x:mergeCells>
  <x:conditionalFormatting sqref="A6:A84">
    <x:cfRule type="containsText" dxfId="0" priority="1" operator="containsText" text="Confirmed"/>
    <x:cfRule type="containsText" dxfId="1" priority="2" operator="containsText" text="Rejected"/>
    <x:cfRule type="containsText" dxfId="2" priority="3" operator="containsText" text="Use folder"/>
    <x:cfRule type="containsText" dxfId="3" priority="4" operator="containsText" text="Needs review"/>
  </x:conditionalFormatting>
  <x:dataValidations count="1">
    <x:dataValidation type="list" sqref="A6:A84">
      <x:formula1>"Needs review,Confirmed,Rejected,Use folder"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50" hidden="0" customWidth="1"/>
    <x:col min="16" max="16" width="52" hidden="0" customWidth="1"/>
    <x:col min="17" max="17" width="18" hidden="0" customWidth="1"/>
  </x:cols>
  <x:sheetData>
    <x:row r="1">
      <x:c r="A1" s="40" t="str">
        <x:v>Entry ID</x:v>
      </x:c>
      <x:c r="B1" s="40" t="str">
        <x:v>Vendor</x:v>
      </x:c>
      <x:c r="C1" s="40" t="str">
        <x:v>Transaction description</x:v>
      </x:c>
      <x:c r="D1" s="40" t="str">
        <x:v>Invoice #</x:v>
      </x:c>
      <x:c r="E1" s="40" t="str">
        <x:v>Invoice date</x:v>
      </x:c>
      <x:c r="F1" s="40" t="str">
        <x:v>Invoice amount</x:v>
      </x:c>
      <x:c r="G1" s="40" t="str">
        <x:v>Invoice currency</x:v>
      </x:c>
      <x:c r="H1" s="40" t="str">
        <x:v>Transaction date</x:v>
      </x:c>
      <x:c r="I1" s="40" t="str">
        <x:v>Transaction amount</x:v>
      </x:c>
      <x:c r="J1" s="40" t="str">
        <x:v>Transaction currency</x:v>
      </x:c>
      <x:c r="K1" s="40" t="str">
        <x:v>Audit status</x:v>
      </x:c>
      <x:c r="L1" s="40" t="str">
        <x:v>Amount basis</x:v>
      </x:c>
      <x:c r="M1" s="40" t="str">
        <x:v>Days from invoice</x:v>
      </x:c>
      <x:c r="N1" s="40" t="str">
        <x:v>Review type</x:v>
      </x:c>
      <x:c r="O1" s="40" t="str">
        <x:v>Drive URL</x:v>
      </x:c>
      <x:c r="P1" s="40" t="str">
        <x:v>Audit reason</x:v>
      </x:c>
      <x:c r="Q1" s="40" t="str">
        <x:v>Current evidence</x:v>
      </x:c>
    </x:row>
    <x:row r="2">
      <x:c r="A2" s="41" t="str">
        <x:v>TRANSFER-1521872450</x:v>
      </x:c>
      <x:c r="B2" s="41" t="str"/>
      <x:c r="C2" s="41" t="str">
        <x:v>STRIPE</x:v>
      </x:c>
      <x:c r="D2" s="41" t="str">
        <x:v>6755A192-0006</x:v>
      </x:c>
      <x:c r="E2" s="42" t="n">
        <x:v>45777</x:v>
      </x:c>
      <x:c r="F2" s="43" t="n">
        <x:v>5</x:v>
      </x:c>
      <x:c r="G2" s="41" t="str">
        <x:v>EUR</x:v>
      </x:c>
      <x:c r="H2" s="42" t="n">
        <x:v>45779</x:v>
      </x:c>
      <x:c r="I2" s="44" t="n">
        <x:v>17.63</x:v>
      </x:c>
      <x:c r="J2" s="41" t="str">
        <x:v>EUR</x:v>
      </x:c>
      <x:c r="K2" s="41" t="str">
        <x:v>review_candidate</x:v>
      </x:c>
      <x:c r="L2" s="41" t="str">
        <x:v>transaction_different</x:v>
      </x:c>
      <x:c r="M2" s="41" t="n">
        <x:v>2</x:v>
      </x:c>
      <x:c r="N2" s="41" t="str">
        <x:v>Bundle or amount differs</x:v>
      </x:c>
      <x:c r="O2" s="41" t="str">
        <x:v>https://drive.google.com/file/d/1JsoM9Oncilsbjhjur8nPTxPmXseLwFtj/view?usp=drivesdk</x:v>
      </x:c>
      <x:c r="P2" s="41" t="str">
        <x:v>A transaction candidate exists, but the amount or currency evidence is not exact.</x:v>
      </x:c>
      <x:c r="Q2" s="41" t="str">
        <x:v>STRIPE/STRIPE-99Z7JAZPPOUJQIGNPBNLLYGEHENM</x:v>
      </x:c>
    </x:row>
    <x:row r="3">
      <x:c r="A3" s="41" t="str">
        <x:v>CARD_TRANSACTION-3367387395</x:v>
      </x:c>
      <x:c r="B3" s="41" t="str">
        <x:v>alibaba</x:v>
      </x:c>
      <x:c r="C3" s="41" t="str">
        <x:v>Ant Alibaba</x:v>
      </x:c>
      <x:c r="D3" s="41" t="str">
        <x:v>EEAR1-2601000002603</x:v>
      </x:c>
      <x:c r="E3" s="42" t="n">
        <x:v>46043</x:v>
      </x:c>
      <x:c r="F3" s="43" t="n">
        <x:v>6.13</x:v>
      </x:c>
      <x:c r="G3" s="41" t="str">
        <x:v>EUR</x:v>
      </x:c>
      <x:c r="H3" s="42" t="n">
        <x:v>46043</x:v>
      </x:c>
      <x:c r="I3" s="44" t="n">
        <x:v>-5.96</x:v>
      </x:c>
      <x:c r="J3" s="41" t="str">
        <x:v>EUR</x:v>
      </x:c>
      <x:c r="K3" s="41" t="str">
        <x:v>review_candidate</x:v>
      </x:c>
      <x:c r="L3" s="41" t="str">
        <x:v>currency_or_amount_different</x:v>
      </x:c>
      <x:c r="M3" s="41" t="n">
        <x:v>0</x:v>
      </x:c>
      <x:c r="N3" s="41" t="str">
        <x:v>Bundle or amount differs</x:v>
      </x:c>
      <x:c r="O3" s="41" t="str">
        <x:v>https://drive.google.com/file/d/1vU4FBHTJ9zMT0FGpYVqnnwYCkfI4nDv_/view?usp=drivesdk</x:v>
      </x:c>
      <x:c r="P3" s="41" t="str">
        <x:v>A transaction candidate exists, but the amount or currency evidence is not exact.</x:v>
      </x:c>
      <x:c r="Q3" s="41"/>
    </x:row>
    <x:row r="4">
      <x:c r="A4" s="41" t="str">
        <x:v>CARD_TRANSACTION-3378499598</x:v>
      </x:c>
      <x:c r="B4" s="41" t="str">
        <x:v>alibaba</x:v>
      </x:c>
      <x:c r="C4" s="41" t="str">
        <x:v>Ant Alibaba</x:v>
      </x:c>
      <x:c r="D4" s="41" t="str">
        <x:v>EEAR1-2601000002772</x:v>
      </x:c>
      <x:c r="E4" s="42" t="n">
        <x:v>46046</x:v>
      </x:c>
      <x:c r="F4" s="43" t="n">
        <x:v>69.19</x:v>
      </x:c>
      <x:c r="G4" s="41" t="str">
        <x:v>EUR</x:v>
      </x:c>
      <x:c r="H4" s="42" t="n">
        <x:v>46046</x:v>
      </x:c>
      <x:c r="I4" s="44" t="n">
        <x:v>-67.41</x:v>
      </x:c>
      <x:c r="J4" s="41" t="str">
        <x:v>EUR</x:v>
      </x:c>
      <x:c r="K4" s="41" t="str">
        <x:v>review_candidate</x:v>
      </x:c>
      <x:c r="L4" s="41" t="str">
        <x:v>currency_or_amount_different</x:v>
      </x:c>
      <x:c r="M4" s="41" t="n">
        <x:v>0</x:v>
      </x:c>
      <x:c r="N4" s="41" t="str">
        <x:v>Bundle or amount differs</x:v>
      </x:c>
      <x:c r="O4" s="41" t="str">
        <x:v>https://drive.google.com/file/d/12OBW5Y6hUVPovXgzYfDGF738eRoS6U5Q/view?usp=drivesdk</x:v>
      </x:c>
      <x:c r="P4" s="41" t="str">
        <x:v>A transaction candidate exists, but the amount or currency evidence is not exact.</x:v>
      </x:c>
      <x:c r="Q4" s="41"/>
    </x:row>
    <x:row r="5">
      <x:c r="A5" s="41" t="str">
        <x:v>CARD_TRANSACTION-2772698972</x:v>
      </x:c>
      <x:c r="B5" s="41" t="str">
        <x:v>amazon</x:v>
      </x:c>
      <x:c r="C5" s="41" t="str">
        <x:v>Amzn Mktp De*Rf4du7x94 800-279-6620</x:v>
      </x:c>
      <x:c r="D5" s="41" t="str">
        <x:v>CZ5RCMTAEUI</x:v>
      </x:c>
      <x:c r="E5" s="42" t="n">
        <x:v>45878</x:v>
      </x:c>
      <x:c r="F5" s="43" t="n">
        <x:v>10.29</x:v>
      </x:c>
      <x:c r="G5" s="41" t="str">
        <x:v>EUR</x:v>
      </x:c>
      <x:c r="H5" s="42" t="n">
        <x:v>45878</x:v>
      </x:c>
      <x:c r="I5" s="44" t="n">
        <x:v>-18.53</x:v>
      </x:c>
      <x:c r="J5" s="41" t="str">
        <x:v>EUR</x:v>
      </x:c>
      <x:c r="K5" s="41" t="str">
        <x:v>review_candidate</x:v>
      </x:c>
      <x:c r="L5" s="41" t="str">
        <x:v>wise_original_amount_different</x:v>
      </x:c>
      <x:c r="M5" s="41" t="n">
        <x:v>0</x:v>
      </x:c>
      <x:c r="N5" s="41" t="str">
        <x:v>Bundle or amount differs</x:v>
      </x:c>
      <x:c r="O5" s="41" t="str">
        <x:v>https://drive.google.com/file/d/1BZLeutRHUQKOheDQXLduD1m_R3_M834i/view?usp=drivesdk</x:v>
      </x:c>
      <x:c r="P5" s="41" t="str">
        <x:v>A transaction candidate exists, but the amount or currency evidence is not exact.</x:v>
      </x:c>
      <x:c r="Q5" s="41"/>
    </x:row>
    <x:row r="6">
      <x:c r="A6" s="41" t="str">
        <x:v>CARD_TRANSACTION-2914091426</x:v>
      </x:c>
      <x:c r="B6" s="41" t="str">
        <x:v>amazon</x:v>
      </x:c>
      <x:c r="C6" s="41" t="str">
        <x:v>Amazon* Dp77z52a5 LUXEMBOURG</x:v>
      </x:c>
      <x:c r="D6" s="41" t="str">
        <x:v>CZ5WKDKAEUI</x:v>
      </x:c>
      <x:c r="E6" s="42" t="n">
        <x:v>45918</x:v>
      </x:c>
      <x:c r="F6" s="43" t="n">
        <x:v>42.51</x:v>
      </x:c>
      <x:c r="G6" s="41" t="str">
        <x:v>EUR</x:v>
      </x:c>
      <x:c r="H6" s="42" t="n">
        <x:v>45918</x:v>
      </x:c>
      <x:c r="I6" s="44" t="n">
        <x:v>-95.75</x:v>
      </x:c>
      <x:c r="J6" s="41" t="str">
        <x:v>EUR</x:v>
      </x:c>
      <x:c r="K6" s="41" t="str">
        <x:v>review_candidate</x:v>
      </x:c>
      <x:c r="L6" s="41" t="str">
        <x:v>wise_original_amount_different</x:v>
      </x:c>
      <x:c r="M6" s="41" t="n">
        <x:v>0</x:v>
      </x:c>
      <x:c r="N6" s="41" t="str">
        <x:v>Bundle or amount differs</x:v>
      </x:c>
      <x:c r="O6" s="41" t="str">
        <x:v>https://drive.google.com/file/d/1F074SiT6pPWNIjk2pwKtnWGNVegJsXow/view?usp=drivesdk</x:v>
      </x:c>
      <x:c r="P6" s="41" t="str">
        <x:v>A transaction candidate exists, but the amount or currency evidence is not exact.</x:v>
      </x:c>
      <x:c r="Q6" s="41"/>
    </x:row>
    <x:row r="7">
      <x:c r="A7" s="41" t="str">
        <x:v>CARD_TRANSACTION-2912212839</x:v>
      </x:c>
      <x:c r="B7" s="41" t="str">
        <x:v>amazon</x:v>
      </x:c>
      <x:c r="C7" s="41" t="str">
        <x:v>Amazon* I67wt5kl5 LUXEMBOURG</x:v>
      </x:c>
      <x:c r="D7" s="41" t="str">
        <x:v>DE50001I39XWTI</x:v>
      </x:c>
      <x:c r="E7" s="42" t="n">
        <x:v>45919</x:v>
      </x:c>
      <x:c r="F7" s="43" t="n">
        <x:v>17.09</x:v>
      </x:c>
      <x:c r="G7" s="41" t="str">
        <x:v>EUR</x:v>
      </x:c>
      <x:c r="H7" s="42" t="n">
        <x:v>45918</x:v>
      </x:c>
      <x:c r="I7" s="44" t="n">
        <x:v>-49.5</x:v>
      </x:c>
      <x:c r="J7" s="41" t="str">
        <x:v>EUR</x:v>
      </x:c>
      <x:c r="K7" s="41" t="str">
        <x:v>review_candidate</x:v>
      </x:c>
      <x:c r="L7" s="41" t="str">
        <x:v>wise_original_amount_different</x:v>
      </x:c>
      <x:c r="M7" s="41" t="n">
        <x:v>-1</x:v>
      </x:c>
      <x:c r="N7" s="41" t="str">
        <x:v>Bundle or amount differs</x:v>
      </x:c>
      <x:c r="O7" s="41" t="str">
        <x:v>https://drive.google.com/file/d/1ZD1udV1kZNnTY_At6N5yHKvicZtxIV-d/view?usp=drivesdk</x:v>
      </x:c>
      <x:c r="P7" s="41" t="str">
        <x:v>A transaction candidate exists, but the amount or currency evidence is not exact.</x:v>
      </x:c>
      <x:c r="Q7" s="41"/>
    </x:row>
    <x:row r="8">
      <x:c r="A8" s="41" t="str">
        <x:v>CARD_TRANSACTION-3369388250</x:v>
      </x:c>
      <x:c r="B8" s="41" t="str">
        <x:v>byteplus</x:v>
      </x:c>
      <x:c r="C8" s="41" t="str">
        <x:v>Byteplus</x:v>
      </x:c>
      <x:c r="D8" s="41" t="str">
        <x:v>BPSGEPS20261451342840</x:v>
      </x:c>
      <x:c r="E8" s="42" t="n">
        <x:v>46027</x:v>
      </x:c>
      <x:c r="F8" s="43" t="n">
        <x:v>720.33</x:v>
      </x:c>
      <x:c r="G8" s="41" t="str">
        <x:v>USD</x:v>
      </x:c>
      <x:c r="H8" s="42" t="n">
        <x:v>46043</x:v>
      </x:c>
      <x:c r="I8" s="44" t="n">
        <x:v>-616.5</x:v>
      </x:c>
      <x:c r="J8" s="41" t="str">
        <x:v>EUR</x:v>
      </x:c>
      <x:c r="K8" s="41" t="str">
        <x:v>review_candidate</x:v>
      </x:c>
      <x:c r="L8" s="41" t="str">
        <x:v>wise_original_amount_exact</x:v>
      </x:c>
      <x:c r="M8" s="41" t="n">
        <x:v>16</x:v>
      </x:c>
      <x:c r="N8" s="41" t="str">
        <x:v>Bundle or amount differs</x:v>
      </x:c>
      <x:c r="O8" s="41" t="str">
        <x:v>https://drive.google.com/file/d/1JRGWil7-GFJXWs7iitCHYX3bobUe-LI-/view?usp=drivesdk</x:v>
      </x:c>
      <x:c r="P8" s="41" t="str">
        <x:v>A transaction candidate exists, but the amount or currency evidence is not exact.</x:v>
      </x:c>
      <x:c r="Q8" s="41"/>
    </x:row>
    <x:row r="9">
      <x:c r="A9" s="41" t="str">
        <x:v>DIRECT_DEBIT_TRANSACTION-27133509</x:v>
      </x:c>
      <x:c r="B9" s="41" t="str">
        <x:v>deel</x:v>
      </x:c>
      <x:c r="C9" s="41" t="str">
        <x:v>LETS DEEL LTD</x:v>
      </x:c>
      <x:c r="D9" s="41" t="str">
        <x:v>INV-2025-3380709</x:v>
      </x:c>
      <x:c r="E9" s="42" t="n">
        <x:v>45954</x:v>
      </x:c>
      <x:c r="F9" s="43" t="n">
        <x:v>477.3</x:v>
      </x:c>
      <x:c r="G9" s="41" t="str">
        <x:v>EUR</x:v>
      </x:c>
      <x:c r="H9" s="42" t="n">
        <x:v>45957</x:v>
      </x:c>
      <x:c r="I9" s="44" t="n">
        <x:v>-7029.42</x:v>
      </x:c>
      <x:c r="J9" s="41" t="str">
        <x:v>EUR</x:v>
      </x:c>
      <x:c r="K9" s="41" t="str">
        <x:v>review_candidate</x:v>
      </x:c>
      <x:c r="L9" s="41" t="str">
        <x:v>transaction_different</x:v>
      </x:c>
      <x:c r="M9" s="41" t="n">
        <x:v>3</x:v>
      </x:c>
      <x:c r="N9" s="41" t="str">
        <x:v>Bundle or amount differs</x:v>
      </x:c>
      <x:c r="O9" s="41" t="str">
        <x:v>https://drive.google.com/file/d/1W9S1aySHoGkwoKc23EQ0MT8ajdi0wcCK/view?usp=drivesdk</x:v>
      </x:c>
      <x:c r="P9" s="41" t="str">
        <x:v>A transaction candidate exists, but the amount or currency evidence is not exact.</x:v>
      </x:c>
      <x:c r="Q9" s="41" t="str">
        <x:v>na.TIKWL1aFt7GgzX:fj3gf2KSEg</x:v>
      </x:c>
    </x:row>
    <x:row r="10">
      <x:c r="A10" s="41" t="str">
        <x:v>DIRECT_DEBIT_TRANSACTION-28114006</x:v>
      </x:c>
      <x:c r="B10" s="41" t="str">
        <x:v>deel</x:v>
      </x:c>
      <x:c r="C10" s="41" t="str">
        <x:v>LETS DEEL LTD</x:v>
      </x:c>
      <x:c r="D10" s="41" t="str">
        <x:v>INV-2025-3797754</x:v>
      </x:c>
      <x:c r="E10" s="42" t="n">
        <x:v>45985</x:v>
      </x:c>
      <x:c r="F10" s="43" t="n">
        <x:v>4.36</x:v>
      </x:c>
      <x:c r="G10" s="41" t="str">
        <x:v>EUR</x:v>
      </x:c>
      <x:c r="H10" s="42" t="n">
        <x:v>45986</x:v>
      </x:c>
      <x:c r="I10" s="44" t="n">
        <x:v>-7042.02</x:v>
      </x:c>
      <x:c r="J10" s="41" t="str">
        <x:v>EUR</x:v>
      </x:c>
      <x:c r="K10" s="41" t="str">
        <x:v>review_candidate</x:v>
      </x:c>
      <x:c r="L10" s="41" t="str">
        <x:v>transaction_different</x:v>
      </x:c>
      <x:c r="M10" s="41" t="n">
        <x:v>1</x:v>
      </x:c>
      <x:c r="N10" s="41" t="str">
        <x:v>Bundle or amount differs</x:v>
      </x:c>
      <x:c r="O10" s="41" t="str">
        <x:v>https://drive.google.com/file/d/1RNMR8wgdnX-LYo2BEhH76cgLZSMKwcRT/view?usp=drivesdk</x:v>
      </x:c>
      <x:c r="P10" s="41" t="str">
        <x:v>A transaction candidate exists, but the amount or currency evidence is not exact.</x:v>
      </x:c>
      <x:c r="Q10" s="41" t="str">
        <x:v>na.TTwXxiiTovt0oV:7imGcrrPc8</x:v>
      </x:c>
    </x:row>
    <x:row r="11">
      <x:c r="A11" s="41" t="str">
        <x:v>DIRECT_DEBIT_TRANSACTION-24467307</x:v>
      </x:c>
      <x:c r="B11" s="41" t="str">
        <x:v>deel</x:v>
      </x:c>
      <x:c r="C11" s="41" t="str">
        <x:v>LETS DEEL LTD</x:v>
      </x:c>
      <x:c r="D11" s="41" t="str">
        <x:v>INV-2025-610317</x:v>
      </x:c>
      <x:c r="E11" s="42" t="n">
        <x:v>45985</x:v>
      </x:c>
      <x:c r="F11" s="43" t="n">
        <x:v>6553.48</x:v>
      </x:c>
      <x:c r="G11" s="41" t="str">
        <x:v>EUR</x:v>
      </x:c>
      <x:c r="H11" s="42" t="n">
        <x:v>45869</x:v>
      </x:c>
      <x:c r="I11" s="44" t="n">
        <x:v>-26414</x:v>
      </x:c>
      <x:c r="J11" s="41" t="str">
        <x:v>EUR</x:v>
      </x:c>
      <x:c r="K11" s="41" t="str">
        <x:v>review_candidate</x:v>
      </x:c>
      <x:c r="L11" s="41" t="str">
        <x:v>transaction_different</x:v>
      </x:c>
      <x:c r="M11" s="41" t="n">
        <x:v>-116</x:v>
      </x:c>
      <x:c r="N11" s="41" t="str">
        <x:v>Bundle or amount differs</x:v>
      </x:c>
      <x:c r="O11" s="41" t="str">
        <x:v>https://drive.google.com/file/d/1SS2hfL7vlhyy0UxI_Q3S2yIVXb0PrCpE/view?usp=drivesdk</x:v>
      </x:c>
      <x:c r="P11" s="41" t="str">
        <x:v>A transaction candidate exists, but the amount or currency evidence is not exact.</x:v>
      </x:c>
      <x:c r="Q11" s="41" t="str">
        <x:v>na.Sm6hE3T2W81YUt:AabgZnPKPY</x:v>
      </x:c>
    </x:row>
    <x:row r="12">
      <x:c r="A12" s="41" t="str">
        <x:v>CARD_TRANSACTION-2709566416</x:v>
      </x:c>
      <x:c r="B12" s="41" t="str">
        <x:v>enty</x:v>
      </x:c>
      <x:c r="C12" s="41" t="str">
        <x:v>Entytech Ou TALLINN</x:v>
      </x:c>
      <x:c r="D12" s="41" t="str">
        <x:v>25541</x:v>
      </x:c>
      <x:c r="E12" s="42" t="n">
        <x:v>45709</x:v>
      </x:c>
      <x:c r="F12" s="43" t="n">
        <x:v>0.01</x:v>
      </x:c>
      <x:c r="G12" s="41" t="str">
        <x:v>EUR</x:v>
      </x:c>
      <x:c r="H12" s="42" t="n">
        <x:v>45859</x:v>
      </x:c>
      <x:c r="I12" s="44" t="n">
        <x:v>-73.16</x:v>
      </x:c>
      <x:c r="J12" s="41" t="str">
        <x:v>EUR</x:v>
      </x:c>
      <x:c r="K12" s="41" t="str">
        <x:v>review_candidate</x:v>
      </x:c>
      <x:c r="L12" s="41" t="str">
        <x:v>wise_original_amount_different</x:v>
      </x:c>
      <x:c r="M12" s="41" t="n">
        <x:v>150</x:v>
      </x:c>
      <x:c r="N12" s="41" t="str">
        <x:v>Bundle or amount differs</x:v>
      </x:c>
      <x:c r="O12" s="41" t="str">
        <x:v>https://drive.google.com/file/d/1edo5nsyHLN5nIPwAjYeq56pYWarfuYZN/view?usp=drivesdk</x:v>
      </x:c>
      <x:c r="P12" s="41" t="str">
        <x:v>A transaction candidate exists, but the amount or currency evidence is not exact.</x:v>
      </x:c>
      <x:c r="Q12" s="41"/>
    </x:row>
    <x:row r="13">
      <x:c r="A13" s="41" t="str">
        <x:v>CARD_TRANSACTION-2861192287</x:v>
      </x:c>
      <x:c r="B13" s="41" t="str">
        <x:v>enty</x:v>
      </x:c>
      <x:c r="C13" s="41" t="str">
        <x:v>Entytech Ou TALLINN</x:v>
      </x:c>
      <x:c r="D13" s="41" t="str">
        <x:v>32699</x:v>
      </x:c>
      <x:c r="E13" s="42" t="n">
        <x:v>45904</x:v>
      </x:c>
      <x:c r="F13" s="43" t="n">
        <x:v>118.51</x:v>
      </x:c>
      <x:c r="G13" s="41" t="str">
        <x:v>EUR</x:v>
      </x:c>
      <x:c r="H13" s="42" t="n">
        <x:v>45904</x:v>
      </x:c>
      <x:c r="I13" s="44" t="n">
        <x:v>-77.13</x:v>
      </x:c>
      <x:c r="J13" s="41" t="str">
        <x:v>EUR</x:v>
      </x:c>
      <x:c r="K13" s="41" t="str">
        <x:v>review_candidate</x:v>
      </x:c>
      <x:c r="L13" s="41" t="str">
        <x:v>wise_original_amount_different</x:v>
      </x:c>
      <x:c r="M13" s="41" t="n">
        <x:v>0</x:v>
      </x:c>
      <x:c r="N13" s="41" t="str">
        <x:v>Bundle or amount differs</x:v>
      </x:c>
      <x:c r="O13" s="41" t="str">
        <x:v>https://drive.google.com/file/d/1fm_jp7mXW9hjnM3GNShnDoDssCEx6SoH/view?usp=drivesdk</x:v>
      </x:c>
      <x:c r="P13" s="41" t="str">
        <x:v>A transaction candidate exists, but the amount or currency evidence is not exact.</x:v>
      </x:c>
      <x:c r="Q13" s="41"/>
    </x:row>
    <x:row r="14">
      <x:c r="A14" s="41" t="str">
        <x:v>CARD_TRANSACTION-2989496117</x:v>
      </x:c>
      <x:c r="B14" s="41" t="str">
        <x:v>enty</x:v>
      </x:c>
      <x:c r="C14" s="41" t="str">
        <x:v>Entytech Ou TALLINN</x:v>
      </x:c>
      <x:c r="D14" s="41" t="str">
        <x:v>34105</x:v>
      </x:c>
      <x:c r="E14" s="42" t="n">
        <x:v>45939</x:v>
      </x:c>
      <x:c r="F14" s="43" t="n">
        <x:v>114.96</x:v>
      </x:c>
      <x:c r="G14" s="41" t="str">
        <x:v>EUR</x:v>
      </x:c>
      <x:c r="H14" s="42" t="n">
        <x:v>45939</x:v>
      </x:c>
      <x:c r="I14" s="44" t="n">
        <x:v>-30.12</x:v>
      </x:c>
      <x:c r="J14" s="41" t="str">
        <x:v>EUR</x:v>
      </x:c>
      <x:c r="K14" s="41" t="str">
        <x:v>review_candidate</x:v>
      </x:c>
      <x:c r="L14" s="41" t="str">
        <x:v>wise_original_amount_different</x:v>
      </x:c>
      <x:c r="M14" s="41" t="n">
        <x:v>0</x:v>
      </x:c>
      <x:c r="N14" s="41" t="str">
        <x:v>Bundle or amount differs</x:v>
      </x:c>
      <x:c r="O14" s="41" t="str">
        <x:v>https://drive.google.com/file/d/1p5TmXdfGHAYxSUzcwYqnbRGZPy8wZG2G/view?usp=drivesdk</x:v>
      </x:c>
      <x:c r="P14" s="41" t="str">
        <x:v>A transaction candidate exists, but the amount or currency evidence is not exact.</x:v>
      </x:c>
      <x:c r="Q14" s="41"/>
    </x:row>
    <x:row r="15">
      <x:c r="A15" s="41" t="str">
        <x:v>TRANSFER-2179898016-2</x:v>
      </x:c>
      <x:c r="B15" s="41" t="str">
        <x:v>google-workspace</x:v>
      </x:c>
      <x:c r="C15" s="41" t="str">
        <x:v>THOMAS DANIEL HAFERLACH Sent</x:v>
      </x:c>
      <x:c r="D15" s="41" t="str">
        <x:v>V142</x:v>
      </x:c>
      <x:c r="E15" s="42" t="n">
        <x:v>46066</x:v>
      </x:c>
      <x:c r="F15" s="43" t="n">
        <x:v>4943.18</x:v>
      </x:c>
      <x:c r="G15" s="41" t="str">
        <x:v>EUR</x:v>
      </x:c>
      <x:c r="H15" s="42" t="n">
        <x:v>46061</x:v>
      </x:c>
      <x:c r="I15" s="44" t="n">
        <x:v>-69.9</x:v>
      </x:c>
      <x:c r="J15" s="41" t="str">
        <x:v>EUR</x:v>
      </x:c>
      <x:c r="K15" s="41" t="str">
        <x:v>review_candidate</x:v>
      </x:c>
      <x:c r="L15" s="41" t="str">
        <x:v>transaction_different</x:v>
      </x:c>
      <x:c r="M15" s="41" t="n">
        <x:v>-5</x:v>
      </x:c>
      <x:c r="N15" s="41" t="str">
        <x:v>Bundle or amount differs</x:v>
      </x:c>
      <x:c r="O15" s="41" t="str">
        <x:v>https://drive.google.com/file/d/1ksi8xtjwTNVXqknatMzJIJoIyiR321MY/view?usp=drivesdk</x:v>
      </x:c>
      <x:c r="P15" s="41" t="str">
        <x:v>A transaction candidate exists, but the amount or currency evidence is not exact.</x:v>
      </x:c>
      <x:c r="Q15" s="41"/>
    </x:row>
    <x:row r="16">
      <x:c r="A16" s="41" t="str">
        <x:v>TRANSFER-1764406353</x:v>
      </x:c>
      <x:c r="B16" s="41" t="str">
        <x:v>leik</x:v>
      </x:c>
      <x:c r="C16" s="41" t="str">
        <x:v>Leik GmbH</x:v>
      </x:c>
      <x:c r="D16" s="41" t="str">
        <x:v>RE-82214</x:v>
      </x:c>
      <x:c r="E16" s="42" t="n">
        <x:v>45943</x:v>
      </x:c>
      <x:c r="F16" s="43" t="n">
        <x:v>964</x:v>
      </x:c>
      <x:c r="G16" s="41" t="str">
        <x:v>EUR</x:v>
      </x:c>
      <x:c r="H16" s="42" t="n">
        <x:v>45940</x:v>
      </x:c>
      <x:c r="I16" s="44" t="n">
        <x:v>-915.8</x:v>
      </x:c>
      <x:c r="J16" s="41" t="str">
        <x:v>EUR</x:v>
      </x:c>
      <x:c r="K16" s="41" t="str">
        <x:v>review_candidate</x:v>
      </x:c>
      <x:c r="L16" s="41" t="str">
        <x:v>transaction_different</x:v>
      </x:c>
      <x:c r="M16" s="41" t="n">
        <x:v>-3</x:v>
      </x:c>
      <x:c r="N16" s="41" t="str">
        <x:v>Bundle or amount differs</x:v>
      </x:c>
      <x:c r="O16" s="41" t="str">
        <x:v>https://drive.google.com/file/d/1PQAchOqVCbBKb7r8WhV4vXH9HHO7exeW/view?usp=drivesdk</x:v>
      </x:c>
      <x:c r="P16" s="41" t="str">
        <x:v>A transaction candidate exists, but the amount or currency evidence is not exact.</x:v>
      </x:c>
      <x:c r="Q16" s="41"/>
    </x:row>
    <x:row r="17">
      <x:c r="A17" s="41" t="str">
        <x:v>DIRECT_DEBIT_TRANSACTION-30612302</x:v>
      </x:c>
      <x:c r="B17" s="41" t="str">
        <x:v>naturenergie</x:v>
      </x:c>
      <x:c r="C17" s="41" t="str">
        <x:v>naturenergie hochrhein AG Sent</x:v>
      </x:c>
      <x:c r="D17" s="41" t="str">
        <x:v>6153791211</x:v>
      </x:c>
      <x:c r="E17" s="42" t="n">
        <x:v>46045</x:v>
      </x:c>
      <x:c r="F17" s="43" t="n">
        <x:v>176.5</x:v>
      </x:c>
      <x:c r="G17" s="41" t="str">
        <x:v>EUR</x:v>
      </x:c>
      <x:c r="H17" s="42" t="n">
        <x:v>46057</x:v>
      </x:c>
      <x:c r="I17" s="44" t="n">
        <x:v>-33</x:v>
      </x:c>
      <x:c r="J17" s="41" t="str">
        <x:v>EUR</x:v>
      </x:c>
      <x:c r="K17" s="41" t="str">
        <x:v>review_candidate</x:v>
      </x:c>
      <x:c r="L17" s="41" t="str">
        <x:v>transaction_different</x:v>
      </x:c>
      <x:c r="M17" s="41" t="n">
        <x:v>12</x:v>
      </x:c>
      <x:c r="N17" s="41" t="str">
        <x:v>Bundle or amount differs</x:v>
      </x:c>
      <x:c r="O17" s="41" t="str">
        <x:v>https://drive.google.com/file/d/1zoX1MJCdNOsqhv2hg67jD1f1eDOxs6WP/view?usp=drivesdk</x:v>
      </x:c>
      <x:c r="P17" s="41" t="str">
        <x:v>A transaction candidate exists, but the amount or currency evidence is not exact.</x:v>
      </x:c>
      <x:c r="Q17" s="41"/>
    </x:row>
    <x:row r="18">
      <x:c r="A18" s="41" t="str">
        <x:v>TRANSFER-1794128212</x:v>
      </x:c>
      <x:c r="B18" s="41" t="str">
        <x:v>paypal</x:v>
      </x:c>
      <x:c r="C18" s="41" t="str">
        <x:v>Elliot Fouchy</x:v>
      </x:c>
      <x:c r="D18" s="41" t="str">
        <x:v>1H0031415098202</x:v>
      </x:c>
      <x:c r="E18" s="42" t="n">
        <x:v>45930</x:v>
      </x:c>
      <x:c r="F18" s="43" t="n">
        <x:v>1676.19</x:v>
      </x:c>
      <x:c r="G18" s="41" t="str">
        <x:v>EUR</x:v>
      </x:c>
      <x:c r="H18" s="42" t="n">
        <x:v>45960</x:v>
      </x:c>
      <x:c r="I18" s="44" t="n">
        <x:v>-1676.19</x:v>
      </x:c>
      <x:c r="J18" s="41" t="str">
        <x:v>EUR</x:v>
      </x:c>
      <x:c r="K18" s="41" t="str">
        <x:v>review_candidate</x:v>
      </x:c>
      <x:c r="L18" s="41" t="str">
        <x:v>transaction_exact</x:v>
      </x:c>
      <x:c r="M18" s="41" t="n">
        <x:v>30</x:v>
      </x:c>
      <x:c r="N18" s="41" t="str">
        <x:v>Bundle or amount differs</x:v>
      </x:c>
      <x:c r="O18" s="41" t="str">
        <x:v>https://drive.google.com/file/d/1mH0sU4DqbhV2CU_yXh5hB9Dvr9elGdlk/view?usp=drivesdk</x:v>
      </x:c>
      <x:c r="P18" s="41" t="str">
        <x:v>A transaction candidate exists, but the amount or currency evidence is not exact.</x:v>
      </x:c>
      <x:c r="Q18" s="41" t="str">
        <x:v>La Redoute - Reimbursement (part 2)</x:v>
      </x:c>
    </x:row>
    <x:row r="19">
      <x:c r="A19" s="41" t="str">
        <x:v>TRANSFER-1749522382</x:v>
      </x:c>
      <x:c r="B19" s="41" t="str">
        <x:v>paypal</x:v>
      </x:c>
      <x:c r="C19" s="41" t="str">
        <x:v>Elliot Fouchy</x:v>
      </x:c>
      <x:c r="D19" s="41" t="str">
        <x:v>2H582640TX79952</x:v>
      </x:c>
      <x:c r="E19" s="42" t="n">
        <x:v>45930</x:v>
      </x:c>
      <x:c r="F19" s="43" t="n">
        <x:v>1865.22</x:v>
      </x:c>
      <x:c r="G19" s="41" t="str">
        <x:v>EUR</x:v>
      </x:c>
      <x:c r="H19" s="42" t="n">
        <x:v>45931</x:v>
      </x:c>
      <x:c r="I19" s="44" t="n">
        <x:v>-1865.22</x:v>
      </x:c>
      <x:c r="J19" s="41" t="str">
        <x:v>EUR</x:v>
      </x:c>
      <x:c r="K19" s="41" t="str">
        <x:v>review_candidate</x:v>
      </x:c>
      <x:c r="L19" s="41" t="str">
        <x:v>transaction_exact</x:v>
      </x:c>
      <x:c r="M19" s="41" t="n">
        <x:v>1</x:v>
      </x:c>
      <x:c r="N19" s="41" t="str">
        <x:v>Bundle or amount differs</x:v>
      </x:c>
      <x:c r="O19" s="41" t="str">
        <x:v>https://drive.google.com/file/d/1mH0sU4DqbhV2CU_yXh5hB9Dvr9elGdlk/view?usp=drivesdk</x:v>
      </x:c>
      <x:c r="P19" s="41" t="str">
        <x:v>A transaction candidate exists, but the amount or currency evidence is not exact.</x:v>
      </x:c>
      <x:c r="Q19" s="41"/>
    </x:row>
    <x:row r="20">
      <x:c r="A20" s="41" t="str">
        <x:v>CARD_TRANSACTION-2979863153</x:v>
      </x:c>
      <x:c r="B20" s="41" t="str">
        <x:v>proton</x:v>
      </x:c>
      <x:c r="C20" s="41" t="str">
        <x:v>Proton LUXEMBOURG</x:v>
      </x:c>
      <x:c r="D20" s="41" t="str">
        <x:v>12443417</x:v>
      </x:c>
      <x:c r="E20" s="42" t="n">
        <x:v>45936</x:v>
      </x:c>
      <x:c r="F20" s="43" t="n">
        <x:v>17.98</x:v>
      </x:c>
      <x:c r="G20" s="41" t="str">
        <x:v>EUR</x:v>
      </x:c>
      <x:c r="H20" s="42" t="n">
        <x:v>45936</x:v>
      </x:c>
      <x:c r="I20" s="44" t="n">
        <x:v>-4.54</x:v>
      </x:c>
      <x:c r="J20" s="41" t="str">
        <x:v>EUR</x:v>
      </x:c>
      <x:c r="K20" s="41" t="str">
        <x:v>review_candidate</x:v>
      </x:c>
      <x:c r="L20" s="41" t="str">
        <x:v>wise_original_amount_different</x:v>
      </x:c>
      <x:c r="M20" s="41" t="n">
        <x:v>0</x:v>
      </x:c>
      <x:c r="N20" s="41" t="str">
        <x:v>Bundle or amount differs</x:v>
      </x:c>
      <x:c r="O20" s="41" t="str">
        <x:v>https://drive.google.com/file/d/1qwJ8i3hF_ioajjO4N3iSLn3y2IVl8nDk/view?usp=drivesdk</x:v>
      </x:c>
      <x:c r="P20" s="41" t="str">
        <x:v>A transaction candidate exists, but the amount or currency evidence is not exact.</x:v>
      </x:c>
      <x:c r="Q20" s="41"/>
    </x:row>
    <x:row r="21">
      <x:c r="A21" s="41" t="str">
        <x:v>TRANSFER-1947398733</x:v>
      </x:c>
      <x:c r="B21" s="41" t="str">
        <x:v>tele2</x:v>
      </x:c>
      <x:c r="C21" s="41" t="str">
        <x:v>TELE2 EESTI AS Sent</x:v>
      </x:c>
      <x:c r="D21" s="41" t="str">
        <x:v>15124410539</x:v>
      </x:c>
      <x:c r="E21" s="42" t="n">
        <x:v>46023</x:v>
      </x:c>
      <x:c r="F21" s="43" t="n">
        <x:v>9.41</x:v>
      </x:c>
      <x:c r="G21" s="41" t="str">
        <x:v>EUR</x:v>
      </x:c>
      <x:c r="H21" s="42" t="n">
        <x:v>46052</x:v>
      </x:c>
      <x:c r="I21" s="44" t="n">
        <x:v>-30.84</x:v>
      </x:c>
      <x:c r="J21" s="41" t="str">
        <x:v>EUR</x:v>
      </x:c>
      <x:c r="K21" s="41" t="str">
        <x:v>review_candidate</x:v>
      </x:c>
      <x:c r="L21" s="41" t="str">
        <x:v>transaction_different</x:v>
      </x:c>
      <x:c r="M21" s="41" t="n">
        <x:v>29</x:v>
      </x:c>
      <x:c r="N21" s="41" t="str">
        <x:v>Bundle or amount differs</x:v>
      </x:c>
      <x:c r="O21" s="41" t="str">
        <x:v>https://drive.google.com/file/d/1ZYDYIGpCQzaii5xFczdvnS5ihoTR8wUA/view?usp=drivesdk</x:v>
      </x:c>
      <x:c r="P21" s="41" t="str">
        <x:v>A transaction candidate exists, but the amount or currency evidence is not exact.</x:v>
      </x:c>
      <x:c r="Q21" s="41"/>
    </x:row>
    <x:row r="22">
      <x:c r="A22" s="41" t="str">
        <x:v>TRANSFER-2073314190</x:v>
      </x:c>
      <x:c r="B22" s="41" t="str">
        <x:v>tele2</x:v>
      </x:c>
      <x:c r="C22" s="41" t="str">
        <x:v>TELE2 EESTI AS Sent</x:v>
      </x:c>
      <x:c r="D22" s="41" t="str">
        <x:v>15125090886</x:v>
      </x:c>
      <x:c r="E22" s="42" t="n">
        <x:v>46113</x:v>
      </x:c>
      <x:c r="F22" s="43" t="n">
        <x:v>9.34</x:v>
      </x:c>
      <x:c r="G22" s="41" t="str">
        <x:v>EUR</x:v>
      </x:c>
      <x:c r="H22" s="42" t="n">
        <x:v>46125</x:v>
      </x:c>
      <x:c r="I22" s="44" t="n">
        <x:v>-29.79</x:v>
      </x:c>
      <x:c r="J22" s="41" t="str">
        <x:v>EUR</x:v>
      </x:c>
      <x:c r="K22" s="41" t="str">
        <x:v>review_candidate</x:v>
      </x:c>
      <x:c r="L22" s="41" t="str">
        <x:v>transaction_different</x:v>
      </x:c>
      <x:c r="M22" s="41" t="n">
        <x:v>12</x:v>
      </x:c>
      <x:c r="N22" s="41" t="str">
        <x:v>Bundle or amount differs</x:v>
      </x:c>
      <x:c r="O22" s="41" t="str">
        <x:v>https://drive.google.com/file/d/15N68MpT6c061c05y8oyG2GK1GKExMR5Q/view?usp=drivesdk</x:v>
      </x:c>
      <x:c r="P22" s="41" t="str">
        <x:v>A transaction candidate exists, but the amount or currency evidence is not exact.</x:v>
      </x:c>
      <x:c r="Q22" s="41"/>
    </x:row>
    <x:row r="23">
      <x:c r="A23" s="41" t="str">
        <x:v>CARD_TRANSACTION-2732217470</x:v>
      </x:c>
      <x:c r="B23" s="41" t="str">
        <x:v>tinybird</x:v>
      </x:c>
      <x:c r="C23" s="41" t="str">
        <x:v>Tinybird.co TINYBIRD.CO</x:v>
      </x:c>
      <x:c r="D23" s="41" t="str">
        <x:v>FUNAOD-00003</x:v>
      </x:c>
      <x:c r="E23" s="42" t="n">
        <x:v>45857</x:v>
      </x:c>
      <x:c r="F23" s="43" t="n">
        <x:v>95.16</x:v>
      </x:c>
      <x:c r="G23" s="41" t="str">
        <x:v>USD</x:v>
      </x:c>
      <x:c r="H23" s="42" t="n">
        <x:v>45866</x:v>
      </x:c>
      <x:c r="I23" s="44" t="n">
        <x:v>-0.56</x:v>
      </x:c>
      <x:c r="J23" s="41" t="str">
        <x:v>EUR</x:v>
      </x:c>
      <x:c r="K23" s="41" t="str">
        <x:v>review_candidate</x:v>
      </x:c>
      <x:c r="L23" s="41" t="str">
        <x:v>wise_original_amount_different</x:v>
      </x:c>
      <x:c r="M23" s="41" t="n">
        <x:v>9</x:v>
      </x:c>
      <x:c r="N23" s="41" t="str">
        <x:v>Bundle or amount differs</x:v>
      </x:c>
      <x:c r="O23" s="41" t="str">
        <x:v>https://drive.google.com/file/d/10h6qeRQiW2apaHF1tyzWJBHJjQUccSvv/view?usp=drivesdk</x:v>
      </x:c>
      <x:c r="P23" s="41" t="str">
        <x:v>A transaction candidate exists, but the amount or currency evidence is not exact.</x:v>
      </x:c>
      <x:c r="Q23" s="41"/>
    </x:row>
    <x:row r="24">
      <x:c r="A24" s="41" t="str">
        <x:v>CARD_TRANSACTION-2916620745</x:v>
      </x:c>
      <x:c r="B24" s="41" t="str">
        <x:v>tinybird</x:v>
      </x:c>
      <x:c r="C24" s="41" t="str">
        <x:v>Tinybird.co TINYBIRD.CO</x:v>
      </x:c>
      <x:c r="D24" s="41" t="str">
        <x:v>FUNAOD-00006</x:v>
      </x:c>
      <x:c r="E24" s="42" t="n">
        <x:v>45918</x:v>
      </x:c>
      <x:c r="F24" s="43" t="n">
        <x:v>199.03</x:v>
      </x:c>
      <x:c r="G24" s="41" t="str">
        <x:v>USD</x:v>
      </x:c>
      <x:c r="H24" s="42" t="n">
        <x:v>45919</x:v>
      </x:c>
      <x:c r="I24" s="44" t="n">
        <x:v>-34.01</x:v>
      </x:c>
      <x:c r="J24" s="41" t="str">
        <x:v>EUR</x:v>
      </x:c>
      <x:c r="K24" s="41" t="str">
        <x:v>review_candidate</x:v>
      </x:c>
      <x:c r="L24" s="41" t="str">
        <x:v>wise_original_amount_different</x:v>
      </x:c>
      <x:c r="M24" s="41" t="n">
        <x:v>1</x:v>
      </x:c>
      <x:c r="N24" s="41" t="str">
        <x:v>Bundle or amount differs</x:v>
      </x:c>
      <x:c r="O24" s="41" t="str">
        <x:v>https://drive.google.com/file/d/1LxaKi4GabskILyyWY1JwjhmG4u8w4CYs/view?usp=drivesdk</x:v>
      </x:c>
      <x:c r="P24" s="41" t="str">
        <x:v>A transaction candidate exists, but the amount or currency evidence is not exact.</x:v>
      </x:c>
      <x:c r="Q24" s="41"/>
    </x:row>
    <x:row r="25">
      <x:c r="A25" s="41" t="str">
        <x:v>CARD_TRANSACTION-2663050067</x:v>
      </x:c>
      <x:c r="B25" s="41" t="str">
        <x:v>windsurf</x:v>
      </x:c>
      <x:c r="C25" s="41" t="str">
        <x:v>Windsurf WINDSURF.COM</x:v>
      </x:c>
      <x:c r="D25" s="41" t="str">
        <x:v>QWC8RYCF-0002</x:v>
      </x:c>
      <x:c r="E25" s="42" t="n">
        <x:v>45846</x:v>
      </x:c>
      <x:c r="F25" s="43" t="n">
        <x:v>89.98</x:v>
      </x:c>
      <x:c r="G25" s="41" t="str">
        <x:v>USD</x:v>
      </x:c>
      <x:c r="H25" s="42" t="n">
        <x:v>45846</x:v>
      </x:c>
      <x:c r="I25" s="44" t="n">
        <x:v>-10.98</x:v>
      </x:c>
      <x:c r="J25" s="41" t="str">
        <x:v>EUR</x:v>
      </x:c>
      <x:c r="K25" s="41" t="str">
        <x:v>review_candidate</x:v>
      </x:c>
      <x:c r="L25" s="41" t="str">
        <x:v>currency_or_amount_different</x:v>
      </x:c>
      <x:c r="M25" s="41" t="n">
        <x:v>0</x:v>
      </x:c>
      <x:c r="N25" s="41" t="str">
        <x:v>Bundle or amount differs</x:v>
      </x:c>
      <x:c r="O25" s="41" t="str">
        <x:v>https://drive.google.com/file/d/1JKV7bvsiq8DSYHZhu9RMzArvz62A0Wap/view?usp=drivesdk</x:v>
      </x:c>
      <x:c r="P25" s="41" t="str">
        <x:v>A transaction candidate exists, but the amount or currency evidence is not exact.</x:v>
      </x:c>
      <x:c r="Q25" s="41"/>
    </x:row>
    <x:row r="26">
      <x:c r="A26" s="41" t="str">
        <x:v>TRANSFER-1571168056</x:v>
      </x:c>
      <x:c r="B26" s="41" t="str"/>
      <x:c r="C26" s="41" t="str">
        <x:v>VLAS MIKROPULO</x:v>
      </x:c>
      <x:c r="D26" s="41" t="str">
        <x:v>2025-00003</x:v>
      </x:c>
      <x:c r="E26" s="42" t="n">
        <x:v>45809</x:v>
      </x:c>
      <x:c r="F26" s="43" t="n">
        <x:v>1398.92</x:v>
      </x:c>
      <x:c r="G26" s="41" t="str">
        <x:v>CAD</x:v>
      </x:c>
      <x:c r="H26" s="42" t="n">
        <x:v>45813</x:v>
      </x:c>
      <x:c r="I26" s="44" t="n">
        <x:v>1432.56</x:v>
      </x:c>
      <x:c r="J26" s="41" t="str">
        <x:v>CAD</x:v>
      </x:c>
      <x:c r="K26" s="41" t="str">
        <x:v>review_candidate</x:v>
      </x:c>
      <x:c r="L26" s="41" t="str">
        <x:v>transaction_within_5pct</x:v>
      </x:c>
      <x:c r="M26" s="41" t="n">
        <x:v>4</x:v>
      </x:c>
      <x:c r="N26" s="41" t="str">
        <x:v>Close amount</x:v>
      </x:c>
      <x:c r="O26" s="41" t="str">
        <x:v>https://drive.google.com/file/d/1ki_ak3knMhXuL_kJLycMgY39MmMi8XuP/view?usp=drivesdk</x:v>
      </x:c>
      <x:c r="P26" s="41" t="str">
        <x:v>A transaction candidate exists, but the amount or currency evidence is not exact.</x:v>
      </x:c>
      <x:c r="Q26" s="41"/>
    </x:row>
    <x:row r="27">
      <x:c r="A27" s="41" t="str">
        <x:v>BALANCE_CASHBACK-56877023</x:v>
      </x:c>
      <x:c r="B27" s="41" t="str"/>
      <x:c r="C27" s="41" t="str">
        <x:v>Cashback</x:v>
      </x:c>
      <x:c r="D27" s="41" t="str">
        <x:v>NO766TL8 3034</x:v>
      </x:c>
      <x:c r="E27" s="42" t="n">
        <x:v>46154</x:v>
      </x:c>
      <x:c r="F27" s="43" t="n">
        <x:v>2</x:v>
      </x:c>
      <x:c r="G27" s="41" t="str">
        <x:v>USD</x:v>
      </x:c>
      <x:c r="H27" s="42" t="n">
        <x:v>46176</x:v>
      </x:c>
      <x:c r="I27" s="44" t="n">
        <x:v>1.94</x:v>
      </x:c>
      <x:c r="J27" s="41" t="str">
        <x:v>USD</x:v>
      </x:c>
      <x:c r="K27" s="41" t="str">
        <x:v>review_candidate</x:v>
      </x:c>
      <x:c r="L27" s="41" t="str">
        <x:v>transaction_within_5pct</x:v>
      </x:c>
      <x:c r="M27" s="41" t="n">
        <x:v>22</x:v>
      </x:c>
      <x:c r="N27" s="41" t="str">
        <x:v>Close amount</x:v>
      </x:c>
      <x:c r="O27" s="41" t="str">
        <x:v>https://drive.google.com/file/d/1NlznT7UUjGUxFTd4RkfKsZ-muRRr4jFK/view?usp=drivesdk</x:v>
      </x:c>
      <x:c r="P27" s="41" t="str">
        <x:v>A transaction candidate exists, but the amount or currency evidence is not exact.</x:v>
      </x:c>
      <x:c r="Q27" s="41"/>
    </x:row>
    <x:row r="28">
      <x:c r="A28" s="41" t="str">
        <x:v>TRANSFER-1912535131-3</x:v>
      </x:c>
      <x:c r="B28" s="41" t="str">
        <x:v>paypal</x:v>
      </x:c>
      <x:c r="C28" s="41" t="str">
        <x:v>THOMAS DANIEL HAFERLACH Sent</x:v>
      </x:c>
      <x:c r="D28" s="41" t="str">
        <x:v>F012610362</x:v>
      </x:c>
      <x:c r="E28" s="42" t="n">
        <x:v>45937</x:v>
      </x:c>
      <x:c r="F28" s="43" t="n">
        <x:v>251.99</x:v>
      </x:c>
      <x:c r="G28" s="41" t="str">
        <x:v>EUR</x:v>
      </x:c>
      <x:c r="H28" s="42" t="n">
        <x:v>46022</x:v>
      </x:c>
      <x:c r="I28" s="44" t="n">
        <x:v>-249.6</x:v>
      </x:c>
      <x:c r="J28" s="41" t="str">
        <x:v>EUR</x:v>
      </x:c>
      <x:c r="K28" s="41" t="str">
        <x:v>review_candidate</x:v>
      </x:c>
      <x:c r="L28" s="41" t="str">
        <x:v>transaction_within_2pct</x:v>
      </x:c>
      <x:c r="M28" s="41" t="n">
        <x:v>85</x:v>
      </x:c>
      <x:c r="N28" s="41" t="str">
        <x:v>Close amount</x:v>
      </x:c>
      <x:c r="O28" s="41" t="str">
        <x:v>https://drive.google.com/file/d/1IdqS2aSEdTISEqd9nhllg34cAH1vXHEY/view?usp=drivesdk</x:v>
      </x:c>
      <x:c r="P28" s="41" t="str">
        <x:v>A transaction candidate exists, but the amount or currency evidence is not exact.</x:v>
      </x:c>
      <x:c r="Q28" s="41"/>
    </x:row>
    <x:row r="29">
      <x:c r="A29" s="41" t="str">
        <x:v>TRANSFER-1530819654</x:v>
      </x:c>
      <x:c r="B29" s="41" t="str">
        <x:v>pollinations-ai-o</x:v>
      </x:c>
      <x:c r="C29" s="41" t="str">
        <x:v>VLAS MIKROPULO</x:v>
      </x:c>
      <x:c r="D29" s="41" t="str">
        <x:v>2025-00002</x:v>
      </x:c>
      <x:c r="E29" s="42" t="n">
        <x:v>45874</x:v>
      </x:c>
      <x:c r="F29" s="43" t="n">
        <x:v>3113</x:v>
      </x:c>
      <x:c r="G29" s="41" t="str">
        <x:v>CAD</x:v>
      </x:c>
      <x:c r="H29" s="42" t="n">
        <x:v>45785</x:v>
      </x:c>
      <x:c r="I29" s="44" t="n">
        <x:v>3113.35</x:v>
      </x:c>
      <x:c r="J29" s="41" t="str">
        <x:v>CAD</x:v>
      </x:c>
      <x:c r="K29" s="41" t="str">
        <x:v>review_candidate</x:v>
      </x:c>
      <x:c r="L29" s="41" t="str">
        <x:v>transaction_within_0.5pct</x:v>
      </x:c>
      <x:c r="M29" s="41" t="n">
        <x:v>-89</x:v>
      </x:c>
      <x:c r="N29" s="41" t="str">
        <x:v>Close amount</x:v>
      </x:c>
      <x:c r="O29" s="41" t="str">
        <x:v>https://drive.google.com/file/d/10wVcC-gKHWhK5KBEme5UIhD7dBYjBj96/view?usp=drivesdk</x:v>
      </x:c>
      <x:c r="P29" s="41" t="str">
        <x:v>A transaction candidate exists, but the amount or currency evidence is not exact.</x:v>
      </x:c>
      <x:c r="Q29" s="41"/>
    </x:row>
    <x:row r="30">
      <x:c r="A30" s="41" t="str">
        <x:v>CARD_TRANSACTION-2758647463</x:v>
      </x:c>
      <x:c r="B30" s="41" t="str">
        <x:v>replicate</x:v>
      </x:c>
      <x:c r="C30" s="41" t="str">
        <x:v>Replicate REPLICATE.COM</x:v>
      </x:c>
      <x:c r="D30" s="41" t="str">
        <x:v>Y3QLNESN-0001</x:v>
      </x:c>
      <x:c r="E30" s="42" t="n">
        <x:v>45874</x:v>
      </x:c>
      <x:c r="F30" s="43" t="n">
        <x:v>60.83</x:v>
      </x:c>
      <x:c r="G30" s="41" t="str">
        <x:v>USD</x:v>
      </x:c>
      <x:c r="H30" s="42" t="n">
        <x:v>45874</x:v>
      </x:c>
      <x:c r="I30" s="44" t="n">
        <x:v>-50.75</x:v>
      </x:c>
      <x:c r="J30" s="41" t="str">
        <x:v>EUR</x:v>
      </x:c>
      <x:c r="K30" s="41" t="str">
        <x:v>review_candidate</x:v>
      </x:c>
      <x:c r="L30" s="41" t="str">
        <x:v>wise_original_amount_within_5pct</x:v>
      </x:c>
      <x:c r="M30" s="41" t="n">
        <x:v>0</x:v>
      </x:c>
      <x:c r="N30" s="41" t="str">
        <x:v>Close amount</x:v>
      </x:c>
      <x:c r="O30" s="41" t="str">
        <x:v>https://drive.google.com/file/d/1Bx46GumTWLja7ZOVe19zZEG6NzE8FjqG/view?usp=drivesdk</x:v>
      </x:c>
      <x:c r="P30" s="41" t="str">
        <x:v>A transaction candidate exists, but the amount or currency evidence is not exact.</x:v>
      </x:c>
      <x:c r="Q30" s="41"/>
    </x:row>
    <x:row r="31">
      <x:c r="A31" s="41" t="str">
        <x:v>CARD_TRANSACTION-3997585991</x:v>
      </x:c>
      <x:c r="B31" s="41" t="str">
        <x:v>thomas-haferlach</x:v>
      </x:c>
      <x:c r="C31" s="41" t="str">
        <x:v>Google Cloud</x:v>
      </x:c>
      <x:c r="D31" s="41" t="str">
        <x:v>V143</x:v>
      </x:c>
      <x:c r="E31" s="42" t="n">
        <x:v>46181</x:v>
      </x:c>
      <x:c r="F31" s="43" t="n">
        <x:v>4428.17</x:v>
      </x:c>
      <x:c r="G31" s="41" t="str">
        <x:v>EUR</x:v>
      </x:c>
      <x:c r="H31" s="42" t="n">
        <x:v>46204</x:v>
      </x:c>
      <x:c r="I31" s="44" t="n">
        <x:v>-4503.54</x:v>
      </x:c>
      <x:c r="J31" s="41" t="str">
        <x:v>EUR</x:v>
      </x:c>
      <x:c r="K31" s="41" t="str">
        <x:v>review_candidate</x:v>
      </x:c>
      <x:c r="L31" s="41" t="str">
        <x:v>wise_original_amount_within_2pct</x:v>
      </x:c>
      <x:c r="M31" s="41" t="n">
        <x:v>23</x:v>
      </x:c>
      <x:c r="N31" s="41" t="str">
        <x:v>Close amount</x:v>
      </x:c>
      <x:c r="O31" s="41" t="str">
        <x:v>https://drive.google.com/file/d/1i7N-JtjGYvHD6ZI2GtarrTVAvSoKAkBv/view?usp=drivesdk</x:v>
      </x:c>
      <x:c r="P31" s="41" t="str">
        <x:v>A transaction candidate exists, but the amount or currency evidence is not exact.</x:v>
      </x:c>
      <x:c r="Q31" s="41"/>
    </x:row>
    <x:row r="32">
      <x:c r="A32" s="41" t="str">
        <x:v>CARD_TRANSACTION-2696166892</x:v>
      </x:c>
      <x:c r="B32" s="41" t="str">
        <x:v>tinybird</x:v>
      </x:c>
      <x:c r="C32" s="41" t="str">
        <x:v>Tinybird.co TINYBIRD.CO</x:v>
      </x:c>
      <x:c r="D32" s="41" t="str">
        <x:v>FUNAOD-00002</x:v>
      </x:c>
      <x:c r="E32" s="42" t="n">
        <x:v>45854</x:v>
      </x:c>
      <x:c r="F32" s="43" t="n">
        <x:v>4.9</x:v>
      </x:c>
      <x:c r="G32" s="41" t="str">
        <x:v>USD</x:v>
      </x:c>
      <x:c r="H32" s="42" t="n">
        <x:v>45855</x:v>
      </x:c>
      <x:c r="I32" s="44" t="n">
        <x:v>-4.11</x:v>
      </x:c>
      <x:c r="J32" s="41" t="str">
        <x:v>EUR</x:v>
      </x:c>
      <x:c r="K32" s="41" t="str">
        <x:v>review_candidate</x:v>
      </x:c>
      <x:c r="L32" s="41" t="str">
        <x:v>wise_original_amount_within_5pct</x:v>
      </x:c>
      <x:c r="M32" s="41" t="n">
        <x:v>1</x:v>
      </x:c>
      <x:c r="N32" s="41" t="str">
        <x:v>Close amount</x:v>
      </x:c>
      <x:c r="O32" s="41" t="str">
        <x:v>https://drive.google.com/file/d/1UJhPM-RRhGrTza0PCN_FMpZSa6kxfCz3/view?usp=drivesdk</x:v>
      </x:c>
      <x:c r="P32" s="41" t="str">
        <x:v>A transaction candidate exists, but the amount or currency evidence is not exact.</x:v>
      </x:c>
      <x:c r="Q32" s="41"/>
    </x:row>
    <x:row r="33">
      <x:c r="A33" s="41" t="str">
        <x:v>TRANSFER-2068358805</x:v>
      </x:c>
      <x:c r="B33" s="41" t="str">
        <x:v>barbara-khamouguinoff</x:v>
      </x:c>
      <x:c r="C33" s="41" t="str">
        <x:v>Barbara Yasmina Khamouguinoff Sent</x:v>
      </x:c>
      <x:c r="D33" s="41" t="str">
        <x:v>03/02/2026</x:v>
      </x:c>
      <x:c r="E33" s="42" t="n">
        <x:v>46121</x:v>
      </x:c>
      <x:c r="F33" s="43" t="n">
        <x:v>80</x:v>
      </x:c>
      <x:c r="G33" s="41" t="str">
        <x:v>EUR</x:v>
      </x:c>
      <x:c r="H33" s="42" t="n">
        <x:v>46125</x:v>
      </x:c>
      <x:c r="I33" s="44" t="n">
        <x:v>-80</x:v>
      </x:c>
      <x:c r="J33" s="41" t="str">
        <x:v>EUR</x:v>
      </x:c>
      <x:c r="K33" s="41" t="str">
        <x:v>review_exact_sequence</x:v>
      </x:c>
      <x:c r="L33" s="41" t="str">
        <x:v>transaction_exact</x:v>
      </x:c>
      <x:c r="M33" s="41" t="n">
        <x:v>4</x:v>
      </x:c>
      <x:c r="N33" s="41" t="str">
        <x:v>Exact amount · check period</x:v>
      </x:c>
      <x:c r="O33" s="41" t="str">
        <x:v>https://drive.google.com/file/d/1z7yNNrkfPbIQ6SXdVki-LtfDfBahGK7r/view?usp=drivesdk</x:v>
      </x:c>
      <x:c r="P33" s="41" t="str">
        <x:v>Vendor and amount match exactly, but the payment timing needs sequence review.</x:v>
      </x:c>
      <x:c r="Q33" s="41"/>
    </x:row>
    <x:row r="34">
      <x:c r="A34" s="41" t="str">
        <x:v>DIRECT_DEBIT_TRANSACTION-29062839</x:v>
      </x:c>
      <x:c r="B34" s="41" t="str">
        <x:v>deel</x:v>
      </x:c>
      <x:c r="C34" s="41" t="str">
        <x:v>LETS DEEL LTD</x:v>
      </x:c>
      <x:c r="D34" s="41" t="str">
        <x:v>S-2025-7</x:v>
      </x:c>
      <x:c r="E34" s="42" t="n">
        <x:v>46011</x:v>
      </x:c>
      <x:c r="F34" s="43" t="n">
        <x:v>7034.84</x:v>
      </x:c>
      <x:c r="G34" s="41" t="str">
        <x:v>EUR</x:v>
      </x:c>
      <x:c r="H34" s="42" t="n">
        <x:v>46013</x:v>
      </x:c>
      <x:c r="I34" s="44" t="n">
        <x:v>-7034.84</x:v>
      </x:c>
      <x:c r="J34" s="41" t="str">
        <x:v>EUR</x:v>
      </x:c>
      <x:c r="K34" s="41" t="str">
        <x:v>review_exact_sequence</x:v>
      </x:c>
      <x:c r="L34" s="41" t="str">
        <x:v>transaction_exact</x:v>
      </x:c>
      <x:c r="M34" s="41" t="n">
        <x:v>2</x:v>
      </x:c>
      <x:c r="N34" s="41" t="str">
        <x:v>Exact amount · check period</x:v>
      </x:c>
      <x:c r="O34" s="41" t="str">
        <x:v>https://drive.google.com/file/d/1GevXP94d_Vo9iqKTdfKCQE1y5EkRUtcU/view?usp=drivesdk</x:v>
      </x:c>
      <x:c r="P34" s="41" t="str">
        <x:v>Vendor and amount match exactly, but the payment timing needs sequence review.</x:v>
      </x:c>
      <x:c r="Q34" s="41" t="str">
        <x:v>na.TdUh4N1foo7XCk:TOCIHTINUC</x:v>
      </x:c>
    </x:row>
    <x:row r="35">
      <x:c r="A35" s="41" t="str">
        <x:v>CARD_TRANSACTION-2814821686</x:v>
      </x:c>
      <x:c r="B35" s="41" t="str">
        <x:v>enty</x:v>
      </x:c>
      <x:c r="C35" s="41" t="str">
        <x:v>Entytech Ou TALLINN</x:v>
      </x:c>
      <x:c r="D35" s="41" t="str">
        <x:v>31078</x:v>
      </x:c>
      <x:c r="E35" s="42" t="n">
        <x:v>45859</x:v>
      </x:c>
      <x:c r="F35" s="43" t="n">
        <x:v>73.16</x:v>
      </x:c>
      <x:c r="G35" s="41" t="str">
        <x:v>EUR</x:v>
      </x:c>
      <x:c r="H35" s="42" t="n">
        <x:v>45890</x:v>
      </x:c>
      <x:c r="I35" s="44" t="n">
        <x:v>-73.16</x:v>
      </x:c>
      <x:c r="J35" s="41" t="str">
        <x:v>EUR</x:v>
      </x:c>
      <x:c r="K35" s="41" t="str">
        <x:v>review_exact_sequence</x:v>
      </x:c>
      <x:c r="L35" s="41" t="str">
        <x:v>wise_original_amount_exact</x:v>
      </x:c>
      <x:c r="M35" s="41" t="n">
        <x:v>31</x:v>
      </x:c>
      <x:c r="N35" s="41" t="str">
        <x:v>Exact amount · check period</x:v>
      </x:c>
      <x:c r="O35" s="41" t="str">
        <x:v>https://drive.google.com/file/d/1GPTHG1of8ZA3uSDnolOErIcihPWPaqqy/view?usp=drivesdk</x:v>
      </x:c>
      <x:c r="P35" s="41" t="str">
        <x:v>Vendor and amount match exactly, but the payment timing needs sequence review.</x:v>
      </x:c>
      <x:c r="Q35" s="41"/>
    </x:row>
    <x:row r="36">
      <x:c r="A36" s="41" t="str">
        <x:v>TRANSFER-1759513396</x:v>
      </x:c>
      <x:c r="B36" s="41" t="str">
        <x:v>gaswerksiedlung-berlin</x:v>
      </x:c>
      <x:c r="C36" s="41" t="str">
        <x:v>Gaswerkssiedlung GmbH</x:v>
      </x:c>
      <x:c r="D36" s="41" t="str">
        <x:v>GWS-2025_04</x:v>
      </x:c>
      <x:c r="E36" s="42" t="n">
        <x:v>45951</x:v>
      </x:c>
      <x:c r="F36" s="43" t="n">
        <x:v>1166.83</x:v>
      </x:c>
      <x:c r="G36" s="41" t="str">
        <x:v>EUR</x:v>
      </x:c>
      <x:c r="H36" s="42" t="n">
        <x:v>45937</x:v>
      </x:c>
      <x:c r="I36" s="44" t="n">
        <x:v>-1166.83</x:v>
      </x:c>
      <x:c r="J36" s="41" t="str">
        <x:v>EUR</x:v>
      </x:c>
      <x:c r="K36" s="41" t="str">
        <x:v>review_exact_sequence</x:v>
      </x:c>
      <x:c r="L36" s="41" t="str">
        <x:v>transaction_exact</x:v>
      </x:c>
      <x:c r="M36" s="41" t="n">
        <x:v>-14</x:v>
      </x:c>
      <x:c r="N36" s="41" t="str">
        <x:v>Exact amount · check period</x:v>
      </x:c>
      <x:c r="O36" s="41" t="str">
        <x:v>https://drive.google.com/file/d/1aT-Whla2_wwD6FOqjdgvnoJrH8EHVPhQ/view?usp=drivesdk</x:v>
      </x:c>
      <x:c r="P36" s="41" t="str">
        <x:v>Vendor and amount match exactly, but the payment timing needs sequence review.</x:v>
      </x:c>
      <x:c r="Q36" s="41" t="str">
        <x:v>KC32VH 2nd floor left August2025</x:v>
      </x:c>
    </x:row>
    <x:row r="37">
      <x:c r="A37" s="41" t="str">
        <x:v>TRANSFER-1809801158</x:v>
      </x:c>
      <x:c r="B37" s="41" t="str">
        <x:v>gaswerksiedlung-berlin</x:v>
      </x:c>
      <x:c r="C37" s="41" t="str">
        <x:v>Gaswerksiedlung Berlin GmbH</x:v>
      </x:c>
      <x:c r="D37" s="41" t="str">
        <x:v>GWS-2025_08</x:v>
      </x:c>
      <x:c r="E37" s="42" t="n">
        <x:v>45967</x:v>
      </x:c>
      <x:c r="F37" s="43" t="n">
        <x:v>1166.83</x:v>
      </x:c>
      <x:c r="G37" s="41" t="str">
        <x:v>EUR</x:v>
      </x:c>
      <x:c r="H37" s="42" t="n">
        <x:v>45969</x:v>
      </x:c>
      <x:c r="I37" s="44" t="n">
        <x:v>-1166.83</x:v>
      </x:c>
      <x:c r="J37" s="41" t="str">
        <x:v>EUR</x:v>
      </x:c>
      <x:c r="K37" s="41" t="str">
        <x:v>review_exact_sequence</x:v>
      </x:c>
      <x:c r="L37" s="41" t="str">
        <x:v>transaction_exact</x:v>
      </x:c>
      <x:c r="M37" s="41" t="n">
        <x:v>2</x:v>
      </x:c>
      <x:c r="N37" s="41" t="str">
        <x:v>Exact amount · check period</x:v>
      </x:c>
      <x:c r="O37" s="41" t="str">
        <x:v>https://drive.google.com/file/d/1mcfjCXF-9QYTYnjTnbjl6DS34td6TFB6/view?usp=drivesdk</x:v>
      </x:c>
      <x:c r="P37" s="41" t="str">
        <x:v>Vendor and amount match exactly, but the payment timing needs sequence review.</x:v>
      </x:c>
      <x:c r="Q37" s="41" t="str">
        <x:v>32 E2L November</x:v>
      </x:c>
    </x:row>
    <x:row r="38">
      <x:c r="A38" s="41" t="str">
        <x:v>TRANSFER-1952263981</x:v>
      </x:c>
      <x:c r="B38" s="41" t="str">
        <x:v>gaswerksiedlung-berlin</x:v>
      </x:c>
      <x:c r="C38" s="41" t="str">
        <x:v>Gaswerksiedlung Berlin GmbH Sent</x:v>
      </x:c>
      <x:c r="D38" s="41" t="str">
        <x:v>GWS-2026_02</x:v>
      </x:c>
      <x:c r="E38" s="42" t="n">
        <x:v>46063</x:v>
      </x:c>
      <x:c r="F38" s="43" t="n">
        <x:v>1166.83</x:v>
      </x:c>
      <x:c r="G38" s="41" t="str">
        <x:v>EUR</x:v>
      </x:c>
      <x:c r="H38" s="42" t="n">
        <x:v>46055</x:v>
      </x:c>
      <x:c r="I38" s="44" t="n">
        <x:v>-1166.83</x:v>
      </x:c>
      <x:c r="J38" s="41" t="str">
        <x:v>EUR</x:v>
      </x:c>
      <x:c r="K38" s="41" t="str">
        <x:v>review_exact_sequence</x:v>
      </x:c>
      <x:c r="L38" s="41" t="str">
        <x:v>transaction_exact</x:v>
      </x:c>
      <x:c r="M38" s="41" t="n">
        <x:v>-8</x:v>
      </x:c>
      <x:c r="N38" s="41" t="str">
        <x:v>Exact amount · check period</x:v>
      </x:c>
      <x:c r="O38" s="41" t="str">
        <x:v>https://drive.google.com/file/d/189x11rmvdLuxJmL0t5ppRCk3lz-nv70K/view?usp=drivesdk</x:v>
      </x:c>
      <x:c r="P38" s="41" t="str">
        <x:v>Vendor and amount match exactly, but the payment timing needs sequence review.</x:v>
      </x:c>
      <x:c r="Q38" s="41"/>
    </x:row>
    <x:row r="39">
      <x:c r="A39" s="41" t="str">
        <x:v>TRANSFER-2063394556</x:v>
      </x:c>
      <x:c r="B39" s="41" t="str">
        <x:v>gaswerksiedlung-berlin</x:v>
      </x:c>
      <x:c r="C39" s="41" t="str">
        <x:v>Gaswerksiedlung Berlin GmbH Sent</x:v>
      </x:c>
      <x:c r="D39" s="41" t="str">
        <x:v>GWS-2026_03</x:v>
      </x:c>
      <x:c r="E39" s="42" t="n">
        <x:v>46091</x:v>
      </x:c>
      <x:c r="F39" s="43" t="n">
        <x:v>1166.83</x:v>
      </x:c>
      <x:c r="G39" s="41" t="str">
        <x:v>EUR</x:v>
      </x:c>
      <x:c r="H39" s="42" t="n">
        <x:v>46125</x:v>
      </x:c>
      <x:c r="I39" s="44" t="n">
        <x:v>-1166.83</x:v>
      </x:c>
      <x:c r="J39" s="41" t="str">
        <x:v>EUR</x:v>
      </x:c>
      <x:c r="K39" s="41" t="str">
        <x:v>review_exact_sequence</x:v>
      </x:c>
      <x:c r="L39" s="41" t="str">
        <x:v>transaction_exact</x:v>
      </x:c>
      <x:c r="M39" s="41" t="n">
        <x:v>34</x:v>
      </x:c>
      <x:c r="N39" s="41" t="str">
        <x:v>Exact amount · check period</x:v>
      </x:c>
      <x:c r="O39" s="41" t="str">
        <x:v>https://drive.google.com/file/d/1vHfn9EkP2uDzMG5ItgFwMVOi65jJjJSD/view?usp=drivesdk</x:v>
      </x:c>
      <x:c r="P39" s="41" t="str">
        <x:v>Vendor and amount match exactly, but the payment timing needs sequence review.</x:v>
      </x:c>
      <x:c r="Q39" s="41"/>
    </x:row>
    <x:row r="40">
      <x:c r="A40" s="41" t="str">
        <x:v>TRANSFER-2039894236</x:v>
      </x:c>
      <x:c r="B40" s="41" t="str">
        <x:v>gaswerksiedlung-berlin</x:v>
      </x:c>
      <x:c r="C40" s="41" t="str">
        <x:v>Gaswerksiedlung Berlin GmbH Sent</x:v>
      </x:c>
      <x:c r="D40" s="41" t="str">
        <x:v>GWS-2026_04</x:v>
      </x:c>
      <x:c r="E40" s="42" t="n">
        <x:v>46091</x:v>
      </x:c>
      <x:c r="F40" s="43" t="n">
        <x:v>1166.83</x:v>
      </x:c>
      <x:c r="G40" s="41" t="str">
        <x:v>EUR</x:v>
      </x:c>
      <x:c r="H40" s="42" t="n">
        <x:v>46106</x:v>
      </x:c>
      <x:c r="I40" s="44" t="n">
        <x:v>-1166.83</x:v>
      </x:c>
      <x:c r="J40" s="41" t="str">
        <x:v>EUR</x:v>
      </x:c>
      <x:c r="K40" s="41" t="str">
        <x:v>review_exact_sequence</x:v>
      </x:c>
      <x:c r="L40" s="41" t="str">
        <x:v>transaction_exact</x:v>
      </x:c>
      <x:c r="M40" s="41" t="n">
        <x:v>15</x:v>
      </x:c>
      <x:c r="N40" s="41" t="str">
        <x:v>Exact amount · check period</x:v>
      </x:c>
      <x:c r="O40" s="41" t="str">
        <x:v>https://drive.google.com/file/d/1mgqE1V3xbi7d2i64-CSiAiS5pd4i_Y0A/view?usp=drivesdk</x:v>
      </x:c>
      <x:c r="P40" s="41" t="str">
        <x:v>Vendor and amount match exactly, but the payment timing needs sequence review.</x:v>
      </x:c>
      <x:c r="Q40" s="41"/>
    </x:row>
    <x:row r="41">
      <x:c r="A41" s="41" t="str">
        <x:v>CARD_TRANSACTION-3443676305</x:v>
      </x:c>
      <x:c r="B41" s="41" t="str">
        <x:v>vast.ai</x:v>
      </x:c>
      <x:c r="C41" s="41" t="str">
        <x:v>Vast.ai</x:v>
      </x:c>
      <x:c r="D41" s="41" t="str">
        <x:v>396700251231260130</x:v>
      </x:c>
      <x:c r="E41" s="42" t="n">
        <x:v>46022</x:v>
      </x:c>
      <x:c r="F41" s="43" t="n">
        <x:v>500</x:v>
      </x:c>
      <x:c r="G41" s="41" t="str">
        <x:v>USD</x:v>
      </x:c>
      <x:c r="H41" s="42" t="n">
        <x:v>46064</x:v>
      </x:c>
      <x:c r="I41" s="44" t="n">
        <x:v>-421.39</x:v>
      </x:c>
      <x:c r="J41" s="41" t="str">
        <x:v>EUR</x:v>
      </x:c>
      <x:c r="K41" s="41" t="str">
        <x:v>review_exact_sequence</x:v>
      </x:c>
      <x:c r="L41" s="41" t="str">
        <x:v>wise_original_amount_exact</x:v>
      </x:c>
      <x:c r="M41" s="41" t="n">
        <x:v>42</x:v>
      </x:c>
      <x:c r="N41" s="41" t="str">
        <x:v>Exact amount · check period</x:v>
      </x:c>
      <x:c r="O41" s="41" t="str">
        <x:v>https://drive.google.com/file/d/1UqGJ0GdnxCZJC8kUZ10anpsiiIM9HkcD/view?usp=drivesdk</x:v>
      </x:c>
      <x:c r="P41" s="41" t="str">
        <x:v>Vendor and amount match exactly, but the payment timing needs sequence review.</x:v>
      </x:c>
      <x:c r="Q41" s="41"/>
    </x:row>
    <x:row r="42">
      <x:c r="A42" s="41" t="str">
        <x:v>CARD_TRANSACTION-3490230610</x:v>
      </x:c>
      <x:c r="B42" s="41" t="str">
        <x:v>vast.ai</x:v>
      </x:c>
      <x:c r="C42" s="41" t="str">
        <x:v>Vast.ai</x:v>
      </x:c>
      <x:c r="D42" s="41" t="str">
        <x:v>396700-2476090</x:v>
      </x:c>
      <x:c r="E42" s="42" t="n">
        <x:v>46054</x:v>
      </x:c>
      <x:c r="F42" s="43" t="n">
        <x:v>500</x:v>
      </x:c>
      <x:c r="G42" s="41" t="str">
        <x:v>USD</x:v>
      </x:c>
      <x:c r="H42" s="42" t="n">
        <x:v>46077</x:v>
      </x:c>
      <x:c r="I42" s="44" t="n">
        <x:v>-426.54</x:v>
      </x:c>
      <x:c r="J42" s="41" t="str">
        <x:v>EUR</x:v>
      </x:c>
      <x:c r="K42" s="41" t="str">
        <x:v>review_exact_sequence</x:v>
      </x:c>
      <x:c r="L42" s="41" t="str">
        <x:v>wise_original_amount_exact</x:v>
      </x:c>
      <x:c r="M42" s="41" t="n">
        <x:v>23</x:v>
      </x:c>
      <x:c r="N42" s="41" t="str">
        <x:v>Exact amount · check period</x:v>
      </x:c>
      <x:c r="O42" s="41" t="str">
        <x:v>https://drive.google.com/file/d/1e5eHO9cl6gXWDXdqUJ2KrNOyNVbWYv6K/view?usp=drivesdk</x:v>
      </x:c>
      <x:c r="P42" s="41" t="str">
        <x:v>Vendor and amount match exactly, but the payment timing needs sequence review.</x:v>
      </x:c>
      <x:c r="Q42" s="41"/>
    </x:row>
    <x:row r="43">
      <x:c r="A43" s="41" t="str">
        <x:v>CARD_TRANSACTION-3424665765</x:v>
      </x:c>
      <x:c r="B43" s="41" t="str">
        <x:v>vast.ai</x:v>
      </x:c>
      <x:c r="C43" s="41" t="str">
        <x:v>Vast.ai</x:v>
      </x:c>
      <x:c r="D43" s="41" t="str">
        <x:v>396700-2499989</x:v>
      </x:c>
      <x:c r="E43" s="42" t="n">
        <x:v>46054</x:v>
      </x:c>
      <x:c r="F43" s="43" t="n">
        <x:v>500</x:v>
      </x:c>
      <x:c r="G43" s="41" t="str">
        <x:v>USD</x:v>
      </x:c>
      <x:c r="H43" s="42" t="n">
        <x:v>46058</x:v>
      </x:c>
      <x:c r="I43" s="44" t="n">
        <x:v>-426.09</x:v>
      </x:c>
      <x:c r="J43" s="41" t="str">
        <x:v>EUR</x:v>
      </x:c>
      <x:c r="K43" s="41" t="str">
        <x:v>review_exact_sequence</x:v>
      </x:c>
      <x:c r="L43" s="41" t="str">
        <x:v>wise_original_amount_exact</x:v>
      </x:c>
      <x:c r="M43" s="41" t="n">
        <x:v>4</x:v>
      </x:c>
      <x:c r="N43" s="41" t="str">
        <x:v>Exact amount · check period</x:v>
      </x:c>
      <x:c r="O43" s="41" t="str">
        <x:v>https://drive.google.com/file/d/1TcgTXbpzPiEv16Zll4wBnmOp1C58-0Wl/view?usp=drivesdk</x:v>
      </x:c>
      <x:c r="P43" s="41" t="str">
        <x:v>Vendor and amount match exactly, but the payment timing needs sequence review.</x:v>
      </x:c>
      <x:c r="Q43" s="41"/>
    </x:row>
    <x:row r="44">
      <x:c r="A44" s="41" t="str">
        <x:v>CARD_TRANSACTION-3400650199</x:v>
      </x:c>
      <x:c r="B44" s="41" t="str">
        <x:v>vast.ai</x:v>
      </x:c>
      <x:c r="C44" s="41" t="str">
        <x:v>Vast.ai</x:v>
      </x:c>
      <x:c r="D44" s="41" t="str">
        <x:v>396700-2516341</x:v>
      </x:c>
      <x:c r="E44" s="42" t="n">
        <x:v>46054</x:v>
      </x:c>
      <x:c r="F44" s="43" t="n">
        <x:v>500</x:v>
      </x:c>
      <x:c r="G44" s="41" t="str">
        <x:v>USD</x:v>
      </x:c>
      <x:c r="H44" s="42" t="n">
        <x:v>46052</x:v>
      </x:c>
      <x:c r="I44" s="44" t="n">
        <x:v>-421.46</x:v>
      </x:c>
      <x:c r="J44" s="41" t="str">
        <x:v>EUR</x:v>
      </x:c>
      <x:c r="K44" s="41" t="str">
        <x:v>review_exact_sequence</x:v>
      </x:c>
      <x:c r="L44" s="41" t="str">
        <x:v>wise_original_amount_exact</x:v>
      </x:c>
      <x:c r="M44" s="41" t="n">
        <x:v>-2</x:v>
      </x:c>
      <x:c r="N44" s="41" t="str">
        <x:v>Exact amount · check period</x:v>
      </x:c>
      <x:c r="O44" s="41" t="str">
        <x:v>https://drive.google.com/file/d/1lWoD1Vzzgm89JzuaKED6OWalw91KWM3B/view?usp=drivesdk</x:v>
      </x:c>
      <x:c r="P44" s="41" t="str">
        <x:v>Vendor and amount match exactly, but the payment timing needs sequence review.</x:v>
      </x:c>
      <x:c r="Q44" s="41"/>
    </x:row>
    <x:row r="45">
      <x:c r="A45" s="41" t="str">
        <x:v>CARD_TRANSACTION-3473600959</x:v>
      </x:c>
      <x:c r="B45" s="41" t="str">
        <x:v>vast.ai</x:v>
      </x:c>
      <x:c r="C45" s="41" t="str">
        <x:v>Vast.ai</x:v>
      </x:c>
      <x:c r="D45" s="41" t="str">
        <x:v>396700260201260316</x:v>
      </x:c>
      <x:c r="E45" s="42" t="n">
        <x:v>46097</x:v>
      </x:c>
      <x:c r="F45" s="43" t="n">
        <x:v>500</x:v>
      </x:c>
      <x:c r="G45" s="41" t="str">
        <x:v>USD</x:v>
      </x:c>
      <x:c r="H45" s="42" t="n">
        <x:v>46072</x:v>
      </x:c>
      <x:c r="I45" s="44" t="n">
        <x:v>-427.03</x:v>
      </x:c>
      <x:c r="J45" s="41" t="str">
        <x:v>EUR</x:v>
      </x:c>
      <x:c r="K45" s="41" t="str">
        <x:v>review_exact_sequence</x:v>
      </x:c>
      <x:c r="L45" s="41" t="str">
        <x:v>wise_original_amount_exact</x:v>
      </x:c>
      <x:c r="M45" s="41" t="n">
        <x:v>-25</x:v>
      </x:c>
      <x:c r="N45" s="41" t="str">
        <x:v>Exact amount · check period</x:v>
      </x:c>
      <x:c r="O45" s="41" t="str">
        <x:v>https://drive.google.com/file/d/1U47p5XeIa_WxWKHYsczA1Oz_2D_3PNbS/view?usp=drivesdk</x:v>
      </x:c>
      <x:c r="P45" s="41" t="str">
        <x:v>Vendor and amount match exactly, but the payment timing needs sequence review.</x:v>
      </x:c>
      <x:c r="Q45" s="41"/>
    </x:row>
    <x:row r="46">
      <x:c r="A46" s="41" t="str">
        <x:v>CARD_TRANSACTION-2843506947</x:v>
      </x:c>
      <x:c r="B46" s="41" t="str">
        <x:v>windsurf</x:v>
      </x:c>
      <x:c r="C46" s="41" t="str">
        <x:v>Windsurf WINDSURF.COM</x:v>
      </x:c>
      <x:c r="D46" s="41" t="str">
        <x:v>QWC8RYCF-0011</x:v>
      </x:c>
      <x:c r="E46" s="42" t="n">
        <x:v>45911</x:v>
      </x:c>
      <x:c r="F46" s="43" t="n">
        <x:v>40</x:v>
      </x:c>
      <x:c r="G46" s="41" t="str">
        <x:v>USD</x:v>
      </x:c>
      <x:c r="H46" s="42" t="n">
        <x:v>45899</x:v>
      </x:c>
      <x:c r="I46" s="44" t="n">
        <x:v>-34.39</x:v>
      </x:c>
      <x:c r="J46" s="41" t="str">
        <x:v>EUR</x:v>
      </x:c>
      <x:c r="K46" s="41" t="str">
        <x:v>review_exact_sequence</x:v>
      </x:c>
      <x:c r="L46" s="41" t="str">
        <x:v>wise_original_amount_exact</x:v>
      </x:c>
      <x:c r="M46" s="41" t="n">
        <x:v>-12</x:v>
      </x:c>
      <x:c r="N46" s="41" t="str">
        <x:v>Exact amount · check period</x:v>
      </x:c>
      <x:c r="O46" s="41" t="str">
        <x:v>https://drive.google.com/file/d/1NsAPOebwVMWw9utEi77ZvSlI81qjeAj-/view?usp=drivesdk</x:v>
      </x:c>
      <x:c r="P46" s="41" t="str">
        <x:v>Vendor and amount match exactly, but the payment timing needs sequence review.</x:v>
      </x:c>
      <x:c r="Q46" s="41"/>
    </x:row>
    <x:row r="47">
      <x:c r="A47" s="41" t="str">
        <x:v>TRANSFER-2165234863</x:v>
      </x:c>
      <x:c r="B47" s="41" t="str"/>
      <x:c r="C47" s="41" t="str">
        <x:v>STRIPE</x:v>
      </x:c>
      <x:c r="D47" s="41" t="str">
        <x:v>NO766TL8 3035</x:v>
      </x:c>
      <x:c r="E47" s="42" t="n">
        <x:v>46154</x:v>
      </x:c>
      <x:c r="F47" s="43" t="n">
        <x:v>5</x:v>
      </x:c>
      <x:c r="G47" s="41" t="str">
        <x:v>USD</x:v>
      </x:c>
      <x:c r="H47" s="42" t="n">
        <x:v>46174</x:v>
      </x:c>
      <x:c r="I47" s="44" t="n">
        <x:v>4.3</x:v>
      </x:c>
      <x:c r="J47" s="41" t="str">
        <x:v>EUR</x:v>
      </x:c>
      <x:c r="K47" s="41" t="str">
        <x:v>review_candidate</x:v>
      </x:c>
      <x:c r="L47" s="41" t="str">
        <x:v>plausible_fx</x:v>
      </x:c>
      <x:c r="M47" s="41" t="n">
        <x:v>20</x:v>
      </x:c>
      <x:c r="N47" s="41" t="str">
        <x:v>Likely FX conversion</x:v>
      </x:c>
      <x:c r="O47" s="41" t="str">
        <x:v>https://drive.google.com/file/d/1klLtss0LhboC-mc63GOpmZKikThcHWZE/view?usp=drivesdk</x:v>
      </x:c>
      <x:c r="P47" s="41" t="str">
        <x:v>A transaction candidate exists, but the amount or currency evidence is not exact.</x:v>
      </x:c>
      <x:c r="Q47" s="41"/>
    </x:row>
    <x:row r="48">
      <x:c r="A48" s="41" t="str">
        <x:v>CARD_TRANSACTION-3323262017</x:v>
      </x:c>
      <x:c r="B48" s="41" t="str">
        <x:v>buffer</x:v>
      </x:c>
      <x:c r="C48" s="41" t="str">
        <x:v>Buffer</x:v>
      </x:c>
      <x:c r="D48" s="41" t="str">
        <x:v>R10DIM1A-0001</x:v>
      </x:c>
      <x:c r="E48" s="42" t="n">
        <x:v>46030</x:v>
      </x:c>
      <x:c r="F48" s="43" t="n">
        <x:v>36</x:v>
      </x:c>
      <x:c r="G48" s="41" t="str">
        <x:v>USD</x:v>
      </x:c>
      <x:c r="H48" s="42" t="n">
        <x:v>46030</x:v>
      </x:c>
      <x:c r="I48" s="44" t="n">
        <x:v>-32.09</x:v>
      </x:c>
      <x:c r="J48" s="41" t="str">
        <x:v>EUR</x:v>
      </x:c>
      <x:c r="K48" s="41" t="str">
        <x:v>review_candidate</x:v>
      </x:c>
      <x:c r="L48" s="41" t="str">
        <x:v>plausible_fx</x:v>
      </x:c>
      <x:c r="M48" s="41" t="n">
        <x:v>0</x:v>
      </x:c>
      <x:c r="N48" s="41" t="str">
        <x:v>Likely FX conversion</x:v>
      </x:c>
      <x:c r="O48" s="41" t="str">
        <x:v>https://drive.google.com/file/d/1jDG7IeELzuAQHB1sxEbGkHc4ogKdvQud/view?usp=drivesdk</x:v>
      </x:c>
      <x:c r="P48" s="41" t="str">
        <x:v>A transaction candidate exists, but the amount or currency evidence is not exact.</x:v>
      </x:c>
      <x:c r="Q48" s="41"/>
    </x:row>
    <x:row r="49">
      <x:c r="A49" s="41" t="str">
        <x:v>CARD_TRANSACTION-3323290709</x:v>
      </x:c>
      <x:c r="B49" s="41" t="str">
        <x:v>buffer</x:v>
      </x:c>
      <x:c r="C49" s="41" t="str">
        <x:v>Buffer</x:v>
      </x:c>
      <x:c r="D49" s="41" t="str">
        <x:v>R10DIM1A-0002</x:v>
      </x:c>
      <x:c r="E49" s="42" t="n">
        <x:v>46030</x:v>
      </x:c>
      <x:c r="F49" s="43" t="n">
        <x:v>12</x:v>
      </x:c>
      <x:c r="G49" s="41" t="str">
        <x:v>USD</x:v>
      </x:c>
      <x:c r="H49" s="42" t="n">
        <x:v>46030</x:v>
      </x:c>
      <x:c r="I49" s="44" t="n">
        <x:v>-10.7</x:v>
      </x:c>
      <x:c r="J49" s="41" t="str">
        <x:v>EUR</x:v>
      </x:c>
      <x:c r="K49" s="41" t="str">
        <x:v>review_candidate</x:v>
      </x:c>
      <x:c r="L49" s="41" t="str">
        <x:v>plausible_fx</x:v>
      </x:c>
      <x:c r="M49" s="41" t="n">
        <x:v>0</x:v>
      </x:c>
      <x:c r="N49" s="41" t="str">
        <x:v>Likely FX conversion</x:v>
      </x:c>
      <x:c r="O49" s="41" t="str">
        <x:v>https://drive.google.com/file/d/1wnSYwnDf_EfPQreOezauMNQ1rirvZ1iw/view?usp=drivesdk</x:v>
      </x:c>
      <x:c r="P49" s="41" t="str">
        <x:v>A transaction candidate exists, but the amount or currency evidence is not exact.</x:v>
      </x:c>
      <x:c r="Q49" s="41"/>
    </x:row>
    <x:row r="50">
      <x:c r="A50" s="41" t="str">
        <x:v>CARD_TRANSACTION-3435139822</x:v>
      </x:c>
      <x:c r="B50" s="41" t="str">
        <x:v>buffer</x:v>
      </x:c>
      <x:c r="C50" s="41" t="str">
        <x:v>Buffer</x:v>
      </x:c>
      <x:c r="D50" s="41" t="str">
        <x:v>R10DIM1A-0003</x:v>
      </x:c>
      <x:c r="E50" s="42" t="n">
        <x:v>46061</x:v>
      </x:c>
      <x:c r="F50" s="43" t="n">
        <x:v>48</x:v>
      </x:c>
      <x:c r="G50" s="41" t="str">
        <x:v>USD</x:v>
      </x:c>
      <x:c r="H50" s="42" t="n">
        <x:v>46061</x:v>
      </x:c>
      <x:c r="I50" s="44" t="n">
        <x:v>-42.79</x:v>
      </x:c>
      <x:c r="J50" s="41" t="str">
        <x:v>EUR</x:v>
      </x:c>
      <x:c r="K50" s="41" t="str">
        <x:v>review_candidate</x:v>
      </x:c>
      <x:c r="L50" s="41" t="str">
        <x:v>plausible_fx</x:v>
      </x:c>
      <x:c r="M50" s="41" t="n">
        <x:v>0</x:v>
      </x:c>
      <x:c r="N50" s="41" t="str">
        <x:v>Likely FX conversion</x:v>
      </x:c>
      <x:c r="O50" s="41" t="str">
        <x:v>https://drive.google.com/file/d/1PTAgfpjAiZSKjGus8O1cocw_DNj-1N4e/view?usp=drivesdk</x:v>
      </x:c>
      <x:c r="P50" s="41" t="str">
        <x:v>A transaction candidate exists, but the amount or currency evidence is not exact.</x:v>
      </x:c>
      <x:c r="Q50" s="41"/>
    </x:row>
    <x:row r="51">
      <x:c r="A51" s="41" t="str">
        <x:v>CARD_TRANSACTION-3534370747</x:v>
      </x:c>
      <x:c r="B51" s="41" t="str">
        <x:v>buffer</x:v>
      </x:c>
      <x:c r="C51" s="41" t="str">
        <x:v>Buffer</x:v>
      </x:c>
      <x:c r="D51" s="41" t="str">
        <x:v>R10DIM1A-0004</x:v>
      </x:c>
      <x:c r="E51" s="42" t="n">
        <x:v>46089</x:v>
      </x:c>
      <x:c r="F51" s="43" t="n">
        <x:v>48</x:v>
      </x:c>
      <x:c r="G51" s="41" t="str">
        <x:v>USD</x:v>
      </x:c>
      <x:c r="H51" s="42" t="n">
        <x:v>46089</x:v>
      </x:c>
      <x:c r="I51" s="44" t="n">
        <x:v>-42.79</x:v>
      </x:c>
      <x:c r="J51" s="41" t="str">
        <x:v>EUR</x:v>
      </x:c>
      <x:c r="K51" s="41" t="str">
        <x:v>review_candidate</x:v>
      </x:c>
      <x:c r="L51" s="41" t="str">
        <x:v>plausible_fx</x:v>
      </x:c>
      <x:c r="M51" s="41" t="n">
        <x:v>0</x:v>
      </x:c>
      <x:c r="N51" s="41" t="str">
        <x:v>Likely FX conversion</x:v>
      </x:c>
      <x:c r="O51" s="41" t="str">
        <x:v>https://drive.google.com/file/d/1T8wsSkhv0Pmk-F4bvLFFiFdBd1XZeuk5/view?usp=drivesdk</x:v>
      </x:c>
      <x:c r="P51" s="41" t="str">
        <x:v>A transaction candidate exists, but the amount or currency evidence is not exact.</x:v>
      </x:c>
      <x:c r="Q51" s="41"/>
    </x:row>
    <x:row r="52">
      <x:c r="A52" s="41" t="str">
        <x:v>CARD_TRANSACTION-3649386654</x:v>
      </x:c>
      <x:c r="B52" s="41" t="str">
        <x:v>buffer</x:v>
      </x:c>
      <x:c r="C52" s="41" t="str">
        <x:v>Buffer</x:v>
      </x:c>
      <x:c r="D52" s="41" t="str">
        <x:v>R10DIM1A-0005</x:v>
      </x:c>
      <x:c r="E52" s="42" t="n">
        <x:v>46120</x:v>
      </x:c>
      <x:c r="F52" s="43" t="n">
        <x:v>48</x:v>
      </x:c>
      <x:c r="G52" s="41" t="str">
        <x:v>USD</x:v>
      </x:c>
      <x:c r="H52" s="42" t="n">
        <x:v>46120</x:v>
      </x:c>
      <x:c r="I52" s="44" t="n">
        <x:v>-42.79</x:v>
      </x:c>
      <x:c r="J52" s="41" t="str">
        <x:v>EUR</x:v>
      </x:c>
      <x:c r="K52" s="41" t="str">
        <x:v>review_candidate</x:v>
      </x:c>
      <x:c r="L52" s="41" t="str">
        <x:v>plausible_fx</x:v>
      </x:c>
      <x:c r="M52" s="41" t="n">
        <x:v>0</x:v>
      </x:c>
      <x:c r="N52" s="41" t="str">
        <x:v>Likely FX conversion</x:v>
      </x:c>
      <x:c r="O52" s="41" t="str">
        <x:v>https://drive.google.com/file/d/1osaWFL_SSrNwsQPStItvvG72IDdQOAng/view?usp=drivesdk</x:v>
      </x:c>
      <x:c r="P52" s="41" t="str">
        <x:v>A transaction candidate exists, but the amount or currency evidence is not exact.</x:v>
      </x:c>
      <x:c r="Q52" s="41"/>
    </x:row>
    <x:row r="53">
      <x:c r="A53" s="41" t="str">
        <x:v>CARD_TRANSACTION-3768103322</x:v>
      </x:c>
      <x:c r="B53" s="41" t="str">
        <x:v>buffer</x:v>
      </x:c>
      <x:c r="C53" s="41" t="str">
        <x:v>Buffer</x:v>
      </x:c>
      <x:c r="D53" s="41" t="str">
        <x:v>R10DIM1A 0006</x:v>
      </x:c>
      <x:c r="E53" s="42" t="n">
        <x:v>46150</x:v>
      </x:c>
      <x:c r="F53" s="43" t="n">
        <x:v>48</x:v>
      </x:c>
      <x:c r="G53" s="41" t="str">
        <x:v>USD</x:v>
      </x:c>
      <x:c r="H53" s="42" t="n">
        <x:v>46150</x:v>
      </x:c>
      <x:c r="I53" s="44" t="n">
        <x:v>-42.79</x:v>
      </x:c>
      <x:c r="J53" s="41" t="str">
        <x:v>EUR</x:v>
      </x:c>
      <x:c r="K53" s="41" t="str">
        <x:v>review_candidate</x:v>
      </x:c>
      <x:c r="L53" s="41" t="str">
        <x:v>plausible_fx</x:v>
      </x:c>
      <x:c r="M53" s="41" t="n">
        <x:v>0</x:v>
      </x:c>
      <x:c r="N53" s="41" t="str">
        <x:v>Likely FX conversion</x:v>
      </x:c>
      <x:c r="O53" s="41" t="str">
        <x:v>https://drive.google.com/file/d/1iVaFlExsix7wlm3ybGxVMILXeuBYUx2l/view?usp=drivesdk</x:v>
      </x:c>
      <x:c r="P53" s="41" t="str">
        <x:v>A transaction candidate exists, but the amount or currency evidence is not exact.</x:v>
      </x:c>
      <x:c r="Q53" s="41"/>
    </x:row>
    <x:row r="54">
      <x:c r="A54" s="41" t="str">
        <x:v>CARD_TRANSACTION-3897950194</x:v>
      </x:c>
      <x:c r="B54" s="41" t="str">
        <x:v>buffer</x:v>
      </x:c>
      <x:c r="C54" s="41" t="str">
        <x:v>Buffer</x:v>
      </x:c>
      <x:c r="D54" s="41" t="str">
        <x:v>R10DIM1A 0007</x:v>
      </x:c>
      <x:c r="E54" s="42" t="n">
        <x:v>46181</x:v>
      </x:c>
      <x:c r="F54" s="43" t="n">
        <x:v>24</x:v>
      </x:c>
      <x:c r="G54" s="41" t="str">
        <x:v>USD</x:v>
      </x:c>
      <x:c r="H54" s="42" t="n">
        <x:v>46181</x:v>
      </x:c>
      <x:c r="I54" s="44" t="n">
        <x:v>-21.39</x:v>
      </x:c>
      <x:c r="J54" s="41" t="str">
        <x:v>EUR</x:v>
      </x:c>
      <x:c r="K54" s="41" t="str">
        <x:v>review_candidate</x:v>
      </x:c>
      <x:c r="L54" s="41" t="str">
        <x:v>plausible_fx</x:v>
      </x:c>
      <x:c r="M54" s="41" t="n">
        <x:v>0</x:v>
      </x:c>
      <x:c r="N54" s="41" t="str">
        <x:v>Likely FX conversion</x:v>
      </x:c>
      <x:c r="O54" s="41" t="str">
        <x:v>https://drive.google.com/file/d/12Jt_IgraKEv3Hs2jLLr6UYxepiYNB257/view?usp=drivesdk</x:v>
      </x:c>
      <x:c r="P54" s="41" t="str">
        <x:v>A transaction candidate exists, but the amount or currency evidence is not exact.</x:v>
      </x:c>
      <x:c r="Q54" s="41"/>
    </x:row>
    <x:row r="55">
      <x:c r="A55" s="41" t="str">
        <x:v>TRANSFER-1846592395</x:v>
      </x:c>
      <x:c r="B55" s="41" t="str">
        <x:v>conception-am-ricas</x:v>
      </x:c>
      <x:c r="C55" s="41" t="str">
        <x:v>STRIPE</x:v>
      </x:c>
      <x:c r="D55" s="41" t="str">
        <x:v>2025-00006</x:v>
      </x:c>
      <x:c r="E55" s="42" t="n">
        <x:v>45978</x:v>
      </x:c>
      <x:c r="F55" s="43" t="n">
        <x:v>16000</x:v>
      </x:c>
      <x:c r="G55" s="41" t="str">
        <x:v>BRL</x:v>
      </x:c>
      <x:c r="H55" s="42" t="n">
        <x:v>45992</x:v>
      </x:c>
      <x:c r="I55" s="44" t="n">
        <x:v>2484.11</x:v>
      </x:c>
      <x:c r="J55" s="41" t="str">
        <x:v>EUR</x:v>
      </x:c>
      <x:c r="K55" s="41" t="str">
        <x:v>review_candidate</x:v>
      </x:c>
      <x:c r="L55" s="41" t="str">
        <x:v>plausible_fx</x:v>
      </x:c>
      <x:c r="M55" s="41" t="n">
        <x:v>14</x:v>
      </x:c>
      <x:c r="N55" s="41" t="str">
        <x:v>Likely FX conversion</x:v>
      </x:c>
      <x:c r="O55" s="41" t="str">
        <x:v>https://drive.google.com/file/d/1dwPfAdu9bbx4mL3gHreZKApsVoYDARbY/view?usp=drivesdk</x:v>
      </x:c>
      <x:c r="P55" s="41" t="str">
        <x:v>A transaction candidate exists, but the amount or currency evidence is not exact.</x:v>
      </x:c>
      <x:c r="Q55" s="41" t="str">
        <x:v>STRIPE/STRIPE-LPRFTFZIXP1YVFZ82NZMRPPN9KSK</x:v>
      </x:c>
    </x:row>
    <x:row r="56">
      <x:c r="A56" s="41" t="str">
        <x:v>TRANSFER-1800664676</x:v>
      </x:c>
      <x:c r="B56" s="41" t="str">
        <x:v>f-silva-fl-via</x:v>
      </x:c>
      <x:c r="C56" s="41" t="str">
        <x:v>STRIPE</x:v>
      </x:c>
      <x:c r="D56" s="41" t="str">
        <x:v>2025-00005</x:v>
      </x:c>
      <x:c r="E56" s="42" t="n">
        <x:v>45954</x:v>
      </x:c>
      <x:c r="F56" s="43" t="n">
        <x:v>12126.27</x:v>
      </x:c>
      <x:c r="G56" s="41" t="str">
        <x:v>BRL</x:v>
      </x:c>
      <x:c r="H56" s="42" t="n">
        <x:v>45964</x:v>
      </x:c>
      <x:c r="I56" s="44" t="n">
        <x:v>1854.52</x:v>
      </x:c>
      <x:c r="J56" s="41" t="str">
        <x:v>EUR</x:v>
      </x:c>
      <x:c r="K56" s="41" t="str">
        <x:v>review_candidate</x:v>
      </x:c>
      <x:c r="L56" s="41" t="str">
        <x:v>plausible_fx</x:v>
      </x:c>
      <x:c r="M56" s="41" t="n">
        <x:v>10</x:v>
      </x:c>
      <x:c r="N56" s="41" t="str">
        <x:v>Likely FX conversion</x:v>
      </x:c>
      <x:c r="O56" s="41" t="str">
        <x:v>https://drive.google.com/file/d/1rHytgClfiK6W61QRKbRptJVju8tn8nMu/view?usp=drivesdk</x:v>
      </x:c>
      <x:c r="P56" s="41" t="str">
        <x:v>A transaction candidate exists, but the amount or currency evidence is not exact.</x:v>
      </x:c>
      <x:c r="Q56" s="41" t="str">
        <x:v>STRIPE/STRIPE-O9KZ2KA5NXYSDC3YIUCKEGNSE8IC</x:v>
      </x:c>
    </x:row>
    <x:row r="57">
      <x:c r="A57" s="41" t="str">
        <x:v>CARD_TRANSACTION-3283178275</x:v>
      </x:c>
      <x:c r="B57" s="41" t="str">
        <x:v>io.net</x:v>
      </x:c>
      <x:c r="C57" s="41" t="str">
        <x:v>Io.net Inc IO.NET</x:v>
      </x:c>
      <x:c r="D57" s="41" t="str">
        <x:v>1249</x:v>
      </x:c>
      <x:c r="E57" s="42" t="n">
        <x:v>46020</x:v>
      </x:c>
      <x:c r="F57" s="43" t="n">
        <x:v>1030</x:v>
      </x:c>
      <x:c r="G57" s="41" t="str">
        <x:v>USD</x:v>
      </x:c>
      <x:c r="H57" s="42" t="n">
        <x:v>46020</x:v>
      </x:c>
      <x:c r="I57" s="44" t="n">
        <x:v>-908.87</x:v>
      </x:c>
      <x:c r="J57" s="41" t="str">
        <x:v>EUR</x:v>
      </x:c>
      <x:c r="K57" s="41" t="str">
        <x:v>review_candidate</x:v>
      </x:c>
      <x:c r="L57" s="41" t="str">
        <x:v>plausible_fx</x:v>
      </x:c>
      <x:c r="M57" s="41" t="n">
        <x:v>0</x:v>
      </x:c>
      <x:c r="N57" s="41" t="str">
        <x:v>Likely FX conversion</x:v>
      </x:c>
      <x:c r="O57" s="41" t="str">
        <x:v>https://drive.google.com/file/d/1-sEKbAyblJWlLeD0djCrjUgRqoUGXtZQ/view?usp=drivesdk</x:v>
      </x:c>
      <x:c r="P57" s="41" t="str">
        <x:v>A transaction candidate exists, but the amount or currency evidence is not exact.</x:v>
      </x:c>
      <x:c r="Q57" s="41"/>
    </x:row>
    <x:row r="58">
      <x:c r="A58" s="41" t="str">
        <x:v>CARD_TRANSACTION-3341055289</x:v>
      </x:c>
      <x:c r="B58" s="41" t="str">
        <x:v>io.net</x:v>
      </x:c>
      <x:c r="C58" s="41" t="str">
        <x:v>Io.net Inc</x:v>
      </x:c>
      <x:c r="D58" s="41" t="str">
        <x:v>1285</x:v>
      </x:c>
      <x:c r="E58" s="42" t="n">
        <x:v>46035</x:v>
      </x:c>
      <x:c r="F58" s="43" t="n">
        <x:v>515</x:v>
      </x:c>
      <x:c r="G58" s="41" t="str">
        <x:v>USD</x:v>
      </x:c>
      <x:c r="H58" s="42" t="n">
        <x:v>46035</x:v>
      </x:c>
      <x:c r="I58" s="44" t="n">
        <x:v>-458.99</x:v>
      </x:c>
      <x:c r="J58" s="41" t="str">
        <x:v>EUR</x:v>
      </x:c>
      <x:c r="K58" s="41" t="str">
        <x:v>review_candidate</x:v>
      </x:c>
      <x:c r="L58" s="41" t="str">
        <x:v>plausible_fx</x:v>
      </x:c>
      <x:c r="M58" s="41" t="n">
        <x:v>0</x:v>
      </x:c>
      <x:c r="N58" s="41" t="str">
        <x:v>Likely FX conversion</x:v>
      </x:c>
      <x:c r="O58" s="41" t="str">
        <x:v>https://drive.google.com/file/d/1RYbYIdTxQKqslP3xwyhcCgL1oYSjGtdl/view?usp=drivesdk</x:v>
      </x:c>
      <x:c r="P58" s="41" t="str">
        <x:v>A transaction candidate exists, but the amount or currency evidence is not exact.</x:v>
      </x:c>
      <x:c r="Q58" s="41"/>
    </x:row>
    <x:row r="59">
      <x:c r="A59" s="41" t="str">
        <x:v>CARD_TRANSACTION-3363174090</x:v>
      </x:c>
      <x:c r="B59" s="41" t="str">
        <x:v>io.net</x:v>
      </x:c>
      <x:c r="C59" s="41" t="str">
        <x:v>Io.net Inc</x:v>
      </x:c>
      <x:c r="D59" s="41" t="str">
        <x:v>1286</x:v>
      </x:c>
      <x:c r="E59" s="42" t="n">
        <x:v>46041</x:v>
      </x:c>
      <x:c r="F59" s="43" t="n">
        <x:v>515</x:v>
      </x:c>
      <x:c r="G59" s="41" t="str">
        <x:v>USD</x:v>
      </x:c>
      <x:c r="H59" s="42" t="n">
        <x:v>46041</x:v>
      </x:c>
      <x:c r="I59" s="44" t="n">
        <x:v>-459.95</x:v>
      </x:c>
      <x:c r="J59" s="41" t="str">
        <x:v>EUR</x:v>
      </x:c>
      <x:c r="K59" s="41" t="str">
        <x:v>review_candidate</x:v>
      </x:c>
      <x:c r="L59" s="41" t="str">
        <x:v>plausible_fx</x:v>
      </x:c>
      <x:c r="M59" s="41" t="n">
        <x:v>0</x:v>
      </x:c>
      <x:c r="N59" s="41" t="str">
        <x:v>Likely FX conversion</x:v>
      </x:c>
      <x:c r="O59" s="41" t="str">
        <x:v>https://drive.google.com/file/d/1jam77NDPjZ7Z2pgRArZxJWxgZmPAr8iw/view?usp=drivesdk</x:v>
      </x:c>
      <x:c r="P59" s="41" t="str">
        <x:v>A transaction candidate exists, but the amount or currency evidence is not exact.</x:v>
      </x:c>
      <x:c r="Q59" s="41"/>
    </x:row>
    <x:row r="60">
      <x:c r="A60" s="41" t="str">
        <x:v>CARD_TRANSACTION-3402631160</x:v>
      </x:c>
      <x:c r="B60" s="41" t="str">
        <x:v>io.net</x:v>
      </x:c>
      <x:c r="C60" s="41" t="str">
        <x:v>Io.net Inc</x:v>
      </x:c>
      <x:c r="D60" s="41" t="str">
        <x:v>1287</x:v>
      </x:c>
      <x:c r="E60" s="42" t="n">
        <x:v>46052</x:v>
      </x:c>
      <x:c r="F60" s="43" t="n">
        <x:v>515</x:v>
      </x:c>
      <x:c r="G60" s="41" t="str">
        <x:v>USD</x:v>
      </x:c>
      <x:c r="H60" s="42" t="n">
        <x:v>46052</x:v>
      </x:c>
      <x:c r="I60" s="44" t="n">
        <x:v>-450.83</x:v>
      </x:c>
      <x:c r="J60" s="41" t="str">
        <x:v>EUR</x:v>
      </x:c>
      <x:c r="K60" s="41" t="str">
        <x:v>review_candidate</x:v>
      </x:c>
      <x:c r="L60" s="41" t="str">
        <x:v>plausible_fx</x:v>
      </x:c>
      <x:c r="M60" s="41" t="n">
        <x:v>0</x:v>
      </x:c>
      <x:c r="N60" s="41" t="str">
        <x:v>Likely FX conversion</x:v>
      </x:c>
      <x:c r="O60" s="41" t="str">
        <x:v>https://drive.google.com/file/d/1Uybk8LCcbGN7SNqCDWCKLfrDLk8QkJjS/view?usp=drivesdk</x:v>
      </x:c>
      <x:c r="P60" s="41" t="str">
        <x:v>A transaction candidate exists, but the amount or currency evidence is not exact.</x:v>
      </x:c>
      <x:c r="Q60" s="41"/>
    </x:row>
    <x:row r="61">
      <x:c r="A61" s="41" t="str">
        <x:v>TRANSFER-1748036764</x:v>
      </x:c>
      <x:c r="B61" s="41" t="str">
        <x:v>stripe</x:v>
      </x:c>
      <x:c r="C61" s="41" t="str">
        <x:v>STRIPE</x:v>
      </x:c>
      <x:c r="D61" s="41" t="str">
        <x:v>2025-00004</x:v>
      </x:c>
      <x:c r="E61" s="42" t="n">
        <x:v>45924</x:v>
      </x:c>
      <x:c r="F61" s="43" t="n">
        <x:v>100000</x:v>
      </x:c>
      <x:c r="G61" s="41" t="str">
        <x:v>BRL</x:v>
      </x:c>
      <x:c r="H61" s="42" t="n">
        <x:v>45931</x:v>
      </x:c>
      <x:c r="I61" s="44" t="n">
        <x:v>15213.04</x:v>
      </x:c>
      <x:c r="J61" s="41" t="str">
        <x:v>EUR</x:v>
      </x:c>
      <x:c r="K61" s="41" t="str">
        <x:v>review_candidate</x:v>
      </x:c>
      <x:c r="L61" s="41" t="str">
        <x:v>plausible_fx</x:v>
      </x:c>
      <x:c r="M61" s="41" t="n">
        <x:v>7</x:v>
      </x:c>
      <x:c r="N61" s="41" t="str">
        <x:v>Likely FX conversion</x:v>
      </x:c>
      <x:c r="O61" s="41" t="str">
        <x:v>https://drive.google.com/file/d/1oxHjHZZgL207Nz6GMVXDaHoDh4pqc7kz/view?usp=drivesdk</x:v>
      </x:c>
      <x:c r="P61" s="41" t="str">
        <x:v>A transaction candidate exists, but the amount or currency evidence is not exact.</x:v>
      </x:c>
      <x:c r="Q61" s="41" t="str">
        <x:v>STRIPE/STRIPE-ATAKATUIH77BBJALCAV6SUN6S7K0</x:v>
      </x:c>
    </x:row>
    <x:row r="62">
      <x:c r="A62" s="41" t="str">
        <x:v>TRANSFER-1999597171</x:v>
      </x:c>
      <x:c r="B62" s="41" t="str">
        <x:v>stripe</x:v>
      </x:c>
      <x:c r="C62" s="41" t="str">
        <x:v>STRIPE</x:v>
      </x:c>
      <x:c r="D62" s="41" t="str">
        <x:v>POLAR-0001</x:v>
      </x:c>
      <x:c r="E62" s="42" t="n">
        <x:v>46059</x:v>
      </x:c>
      <x:c r="F62" s="43" t="n">
        <x:v>4511.05</x:v>
      </x:c>
      <x:c r="G62" s="41" t="str">
        <x:v>USD</x:v>
      </x:c>
      <x:c r="H62" s="42" t="n">
        <x:v>46083</x:v>
      </x:c>
      <x:c r="I62" s="44" t="n">
        <x:v>4227.21</x:v>
      </x:c>
      <x:c r="J62" s="41" t="str">
        <x:v>EUR</x:v>
      </x:c>
      <x:c r="K62" s="41" t="str">
        <x:v>review_candidate</x:v>
      </x:c>
      <x:c r="L62" s="41" t="str">
        <x:v>plausible_fx</x:v>
      </x:c>
      <x:c r="M62" s="41" t="n">
        <x:v>24</x:v>
      </x:c>
      <x:c r="N62" s="41" t="str">
        <x:v>Likely FX conversion</x:v>
      </x:c>
      <x:c r="O62" s="41" t="str">
        <x:v>https://drive.google.com/file/d/1z574sxK3Z_xITQKlH55ly7JDLM_Hr2Bf/view?usp=drivesdk</x:v>
      </x:c>
      <x:c r="P62" s="41" t="str">
        <x:v>A transaction candidate exists, but the amount or currency evidence is not exact.</x:v>
      </x:c>
      <x:c r="Q62" s="41"/>
    </x:row>
    <x:row r="63">
      <x:c r="A63" s="41" t="str">
        <x:v>CARD_TRANSACTION-2696050158</x:v>
      </x:c>
      <x:c r="B63" s="41" t="str">
        <x:v>windsurf</x:v>
      </x:c>
      <x:c r="C63" s="41" t="str">
        <x:v>Windsurf WINDSURF.COM</x:v>
      </x:c>
      <x:c r="D63" s="41" t="str">
        <x:v>QWC8RYCF-0003</x:v>
      </x:c>
      <x:c r="E63" s="42" t="n">
        <x:v>45855</x:v>
      </x:c>
      <x:c r="F63" s="43" t="n">
        <x:v>40</x:v>
      </x:c>
      <x:c r="G63" s="41" t="str">
        <x:v>USD</x:v>
      </x:c>
      <x:c r="H63" s="42" t="n">
        <x:v>45855</x:v>
      </x:c>
      <x:c r="I63" s="44" t="n">
        <x:v>-35.91</x:v>
      </x:c>
      <x:c r="J63" s="41" t="str">
        <x:v>EUR</x:v>
      </x:c>
      <x:c r="K63" s="41" t="str">
        <x:v>review_candidate</x:v>
      </x:c>
      <x:c r="L63" s="41" t="str">
        <x:v>plausible_fx</x:v>
      </x:c>
      <x:c r="M63" s="41" t="n">
        <x:v>0</x:v>
      </x:c>
      <x:c r="N63" s="41" t="str">
        <x:v>Likely FX conversion</x:v>
      </x:c>
      <x:c r="O63" s="41" t="str">
        <x:v>https://drive.google.com/file/d/1YlLm3AgpAY5SBuwIzDv8gYkF06r01G4U/view?usp=drivesdk</x:v>
      </x:c>
      <x:c r="P63" s="41" t="str">
        <x:v>A transaction candidate exists, but the amount or currency evidence is not exact.</x:v>
      </x:c>
      <x:c r="Q63" s="41"/>
    </x:row>
    <x:row r="64">
      <x:c r="A64" s="41" t="str">
        <x:v>CARD_TRANSACTION-2899824675</x:v>
      </x:c>
      <x:c r="B64" s="41" t="str">
        <x:v>windsurf</x:v>
      </x:c>
      <x:c r="C64" s="41" t="str">
        <x:v>Windsurf WINDSURF.COM</x:v>
      </x:c>
      <x:c r="D64" s="41" t="str">
        <x:v>QWC8RYCF-0013</x:v>
      </x:c>
      <x:c r="E64" s="42" t="n">
        <x:v>45914</x:v>
      </x:c>
      <x:c r="F64" s="43" t="n">
        <x:v>40</x:v>
      </x:c>
      <x:c r="G64" s="41" t="str">
        <x:v>USD</x:v>
      </x:c>
      <x:c r="H64" s="42" t="n">
        <x:v>45914</x:v>
      </x:c>
      <x:c r="I64" s="44" t="n">
        <x:v>-35.46</x:v>
      </x:c>
      <x:c r="J64" s="41" t="str">
        <x:v>EUR</x:v>
      </x:c>
      <x:c r="K64" s="41" t="str">
        <x:v>review_candidate</x:v>
      </x:c>
      <x:c r="L64" s="41" t="str">
        <x:v>plausible_fx</x:v>
      </x:c>
      <x:c r="M64" s="41" t="n">
        <x:v>0</x:v>
      </x:c>
      <x:c r="N64" s="41" t="str">
        <x:v>Likely FX conversion</x:v>
      </x:c>
      <x:c r="O64" s="41" t="str">
        <x:v>https://drive.google.com/file/d/13HBf_aDhFt5ldFVy2EbbYeoByRuX6QV_/view?usp=drivesdk</x:v>
      </x:c>
      <x:c r="P64" s="41" t="str">
        <x:v>A transaction candidate exists, but the amount or currency evidence is not exact.</x:v>
      </x:c>
      <x:c r="Q64" s="41"/>
    </x:row>
    <x:row r="65">
      <x:c r="A65" s="41" t="str">
        <x:v>CARD_TRANSACTION-2954870342</x:v>
      </x:c>
      <x:c r="B65" s="41" t="str">
        <x:v>windsurf</x:v>
      </x:c>
      <x:c r="C65" s="41" t="str">
        <x:v>Windsurf +12018066945</x:v>
      </x:c>
      <x:c r="D65" s="41" t="str">
        <x:v>QWC8RYCF-0016</x:v>
      </x:c>
      <x:c r="E65" s="42" t="n">
        <x:v>45929</x:v>
      </x:c>
      <x:c r="F65" s="43" t="n">
        <x:v>40</x:v>
      </x:c>
      <x:c r="G65" s="41" t="str">
        <x:v>USD</x:v>
      </x:c>
      <x:c r="H65" s="42" t="n">
        <x:v>45929</x:v>
      </x:c>
      <x:c r="I65" s="44" t="n">
        <x:v>-35.47</x:v>
      </x:c>
      <x:c r="J65" s="41" t="str">
        <x:v>EUR</x:v>
      </x:c>
      <x:c r="K65" s="41" t="str">
        <x:v>review_candidate</x:v>
      </x:c>
      <x:c r="L65" s="41" t="str">
        <x:v>plausible_fx</x:v>
      </x:c>
      <x:c r="M65" s="41" t="n">
        <x:v>0</x:v>
      </x:c>
      <x:c r="N65" s="41" t="str">
        <x:v>Likely FX conversion</x:v>
      </x:c>
      <x:c r="O65" s="41" t="str">
        <x:v>https://drive.google.com/file/d/1csk4oLthCI8uPP6BR6eyEiIKac-ti_VP/view?usp=drivesdk</x:v>
      </x:c>
      <x:c r="P65" s="41" t="str">
        <x:v>A transaction candidate exists, but the amount or currency evidence is not exact.</x:v>
      </x:c>
      <x:c r="Q65" s="41"/>
    </x:row>
    <x:row r="66">
      <x:c r="A66" s="41" t="str">
        <x:v>CARD_TRANSACTION-2977065829</x:v>
      </x:c>
      <x:c r="B66" s="41" t="str">
        <x:v>windsurf</x:v>
      </x:c>
      <x:c r="C66" s="41" t="str">
        <x:v>Windsurf WINDSURF.COM</x:v>
      </x:c>
      <x:c r="D66" s="41" t="str">
        <x:v>QWC8RYCF-0017</x:v>
      </x:c>
      <x:c r="E66" s="42" t="n">
        <x:v>45935</x:v>
      </x:c>
      <x:c r="F66" s="43" t="n">
        <x:v>40</x:v>
      </x:c>
      <x:c r="G66" s="41" t="str">
        <x:v>USD</x:v>
      </x:c>
      <x:c r="H66" s="42" t="n">
        <x:v>45935</x:v>
      </x:c>
      <x:c r="I66" s="44" t="n">
        <x:v>-35.49</x:v>
      </x:c>
      <x:c r="J66" s="41" t="str">
        <x:v>EUR</x:v>
      </x:c>
      <x:c r="K66" s="41" t="str">
        <x:v>review_candidate</x:v>
      </x:c>
      <x:c r="L66" s="41" t="str">
        <x:v>plausible_fx</x:v>
      </x:c>
      <x:c r="M66" s="41" t="n">
        <x:v>0</x:v>
      </x:c>
      <x:c r="N66" s="41" t="str">
        <x:v>Likely FX conversion</x:v>
      </x:c>
      <x:c r="O66" s="41" t="str">
        <x:v>https://drive.google.com/file/d/1arx_WysWa2ecPYmpEuRcMfy7z3aQbJwV/view?usp=drivesdk</x:v>
      </x:c>
      <x:c r="P66" s="41" t="str">
        <x:v>A transaction candidate exists, but the amount or currency evidence is not exact.</x:v>
      </x:c>
      <x:c r="Q66" s="41"/>
    </x:row>
    <x:row r="67">
      <x:c r="A67" s="41" t="str">
        <x:v>CARD_TRANSACTION-3044526274</x:v>
      </x:c>
      <x:c r="B67" s="41" t="str">
        <x:v>windsurf</x:v>
      </x:c>
      <x:c r="C67" s="41" t="str">
        <x:v>Windsurf WINDSURF.COM</x:v>
      </x:c>
      <x:c r="D67" s="41" t="str">
        <x:v>QWC8RYCF-0022</x:v>
      </x:c>
      <x:c r="E67" s="42" t="n">
        <x:v>45954</x:v>
      </x:c>
      <x:c r="F67" s="43" t="n">
        <x:v>40</x:v>
      </x:c>
      <x:c r="G67" s="41" t="str">
        <x:v>USD</x:v>
      </x:c>
      <x:c r="H67" s="42" t="n">
        <x:v>45954</x:v>
      </x:c>
      <x:c r="I67" s="44" t="n">
        <x:v>-35.78</x:v>
      </x:c>
      <x:c r="J67" s="41" t="str">
        <x:v>EUR</x:v>
      </x:c>
      <x:c r="K67" s="41" t="str">
        <x:v>review_candidate</x:v>
      </x:c>
      <x:c r="L67" s="41" t="str">
        <x:v>plausible_fx</x:v>
      </x:c>
      <x:c r="M67" s="41" t="n">
        <x:v>0</x:v>
      </x:c>
      <x:c r="N67" s="41" t="str">
        <x:v>Likely FX conversion</x:v>
      </x:c>
      <x:c r="O67" s="41" t="str">
        <x:v>https://drive.google.com/file/d/1M2KA88gb7SFxHsfZrObzaxU27MBnDmjo/view?usp=drivesdk</x:v>
      </x:c>
      <x:c r="P67" s="41" t="str">
        <x:v>A transaction candidate exists, but the amount or currency evidence is not exact.</x:v>
      </x:c>
      <x:c r="Q67" s="41"/>
    </x:row>
    <x:row r="68">
      <x:c r="A68" s="41" t="str">
        <x:v>CARD_TRANSACTION-3049537266</x:v>
      </x:c>
      <x:c r="B68" s="41" t="str">
        <x:v>windsurf</x:v>
      </x:c>
      <x:c r="C68" s="41" t="str">
        <x:v>Windsurf WINDSURF.COM</x:v>
      </x:c>
      <x:c r="D68" s="41" t="str">
        <x:v>QWC8RYCF-0023</x:v>
      </x:c>
      <x:c r="E68" s="42" t="n">
        <x:v>45955</x:v>
      </x:c>
      <x:c r="F68" s="43" t="n">
        <x:v>40</x:v>
      </x:c>
      <x:c r="G68" s="41" t="str">
        <x:v>USD</x:v>
      </x:c>
      <x:c r="H68" s="42" t="n">
        <x:v>45956</x:v>
      </x:c>
      <x:c r="I68" s="44" t="n">
        <x:v>-35.78</x:v>
      </x:c>
      <x:c r="J68" s="41" t="str">
        <x:v>EUR</x:v>
      </x:c>
      <x:c r="K68" s="41" t="str">
        <x:v>review_candidate</x:v>
      </x:c>
      <x:c r="L68" s="41" t="str">
        <x:v>plausible_fx</x:v>
      </x:c>
      <x:c r="M68" s="41" t="n">
        <x:v>1</x:v>
      </x:c>
      <x:c r="N68" s="41" t="str">
        <x:v>Likely FX conversion</x:v>
      </x:c>
      <x:c r="O68" s="41" t="str">
        <x:v>https://drive.google.com/file/d/1oXfyaF90VDN98owifFtQlutyyFnFpyKU/view?usp=drivesdk</x:v>
      </x:c>
      <x:c r="P68" s="41" t="str">
        <x:v>A transaction candidate exists, but the amount or currency evidence is not exact.</x:v>
      </x:c>
      <x:c r="Q68" s="41"/>
    </x:row>
    <x:row r="69">
      <x:c r="A69" s="41" t="str">
        <x:v>CARD_TRANSACTION-3052193503</x:v>
      </x:c>
      <x:c r="B69" s="41" t="str">
        <x:v>windsurf</x:v>
      </x:c>
      <x:c r="C69" s="41" t="str">
        <x:v>Windsurf WINDSURF.COM</x:v>
      </x:c>
      <x:c r="D69" s="41" t="str">
        <x:v>QWC8RYCF-0024</x:v>
      </x:c>
      <x:c r="E69" s="42" t="n">
        <x:v>45956</x:v>
      </x:c>
      <x:c r="F69" s="43" t="n">
        <x:v>40</x:v>
      </x:c>
      <x:c r="G69" s="41" t="str">
        <x:v>USD</x:v>
      </x:c>
      <x:c r="H69" s="42" t="n">
        <x:v>45956</x:v>
      </x:c>
      <x:c r="I69" s="44" t="n">
        <x:v>-35.78</x:v>
      </x:c>
      <x:c r="J69" s="41" t="str">
        <x:v>EUR</x:v>
      </x:c>
      <x:c r="K69" s="41" t="str">
        <x:v>review_candidate</x:v>
      </x:c>
      <x:c r="L69" s="41" t="str">
        <x:v>plausible_fx</x:v>
      </x:c>
      <x:c r="M69" s="41" t="n">
        <x:v>0</x:v>
      </x:c>
      <x:c r="N69" s="41" t="str">
        <x:v>Likely FX conversion</x:v>
      </x:c>
      <x:c r="O69" s="41" t="str">
        <x:v>https://drive.google.com/file/d/1f6-2BSZfJV7BB6SIYK3zCOfJPCQiPKVG/view?usp=drivesdk</x:v>
      </x:c>
      <x:c r="P69" s="41" t="str">
        <x:v>A transaction candidate exists, but the amount or currency evidence is not exact.</x:v>
      </x:c>
      <x:c r="Q69" s="41"/>
    </x:row>
    <x:row r="70">
      <x:c r="A70" s="41" t="str">
        <x:v>CARD_TRANSACTION-3056224572</x:v>
      </x:c>
      <x:c r="B70" s="41" t="str">
        <x:v>windsurf</x:v>
      </x:c>
      <x:c r="C70" s="41" t="str">
        <x:v>Windsurf WINDSURF.COM</x:v>
      </x:c>
      <x:c r="D70" s="41" t="str">
        <x:v>QWC8RYCF-0025</x:v>
      </x:c>
      <x:c r="E70" s="42" t="n">
        <x:v>45957</x:v>
      </x:c>
      <x:c r="F70" s="43" t="n">
        <x:v>40</x:v>
      </x:c>
      <x:c r="G70" s="41" t="str">
        <x:v>USD</x:v>
      </x:c>
      <x:c r="H70" s="42" t="n">
        <x:v>45958</x:v>
      </x:c>
      <x:c r="I70" s="44" t="n">
        <x:v>-35.72</x:v>
      </x:c>
      <x:c r="J70" s="41" t="str">
        <x:v>EUR</x:v>
      </x:c>
      <x:c r="K70" s="41" t="str">
        <x:v>review_candidate</x:v>
      </x:c>
      <x:c r="L70" s="41" t="str">
        <x:v>plausible_fx</x:v>
      </x:c>
      <x:c r="M70" s="41" t="n">
        <x:v>1</x:v>
      </x:c>
      <x:c r="N70" s="41" t="str">
        <x:v>Likely FX conversion</x:v>
      </x:c>
      <x:c r="O70" s="41" t="str">
        <x:v>https://drive.google.com/file/d/1gDDLlFPWzCxoM0Sj4g-Ae0WH0NaGzZCW/view?usp=drivesdk</x:v>
      </x:c>
      <x:c r="P70" s="41" t="str">
        <x:v>A transaction candidate exists, but the amount or currency evidence is not exact.</x:v>
      </x:c>
      <x:c r="Q70" s="41"/>
    </x:row>
    <x:row r="71">
      <x:c r="A71" s="41" t="str">
        <x:v>CARD_TRANSACTION-3056237355</x:v>
      </x:c>
      <x:c r="B71" s="41" t="str">
        <x:v>windsurf</x:v>
      </x:c>
      <x:c r="C71" s="41" t="str">
        <x:v>Windsurf WINDSURF.COM</x:v>
      </x:c>
      <x:c r="D71" s="41" t="str">
        <x:v>QWC8RYCF-0026</x:v>
      </x:c>
      <x:c r="E71" s="42" t="n">
        <x:v>45957</x:v>
      </x:c>
      <x:c r="F71" s="43" t="n">
        <x:v>40</x:v>
      </x:c>
      <x:c r="G71" s="41" t="str">
        <x:v>USD</x:v>
      </x:c>
      <x:c r="H71" s="42" t="n">
        <x:v>45958</x:v>
      </x:c>
      <x:c r="I71" s="44" t="n">
        <x:v>-35.72</x:v>
      </x:c>
      <x:c r="J71" s="41" t="str">
        <x:v>EUR</x:v>
      </x:c>
      <x:c r="K71" s="41" t="str">
        <x:v>review_candidate</x:v>
      </x:c>
      <x:c r="L71" s="41" t="str">
        <x:v>plausible_fx</x:v>
      </x:c>
      <x:c r="M71" s="41" t="n">
        <x:v>1</x:v>
      </x:c>
      <x:c r="N71" s="41" t="str">
        <x:v>Likely FX conversion</x:v>
      </x:c>
      <x:c r="O71" s="41" t="str">
        <x:v>https://drive.google.com/file/d/1bEHTouNwy1CTe7wiO9DIXYpGyOLbID7i/view?usp=drivesdk</x:v>
      </x:c>
      <x:c r="P71" s="41" t="str">
        <x:v>A transaction candidate exists, but the amount or currency evidence is not exact.</x:v>
      </x:c>
      <x:c r="Q71" s="41"/>
    </x:row>
    <x:row r="72">
      <x:c r="A72" s="41" t="str">
        <x:v>CARD_TRANSACTION-3070015202</x:v>
      </x:c>
      <x:c r="B72" s="41" t="str">
        <x:v>windsurf</x:v>
      </x:c>
      <x:c r="C72" s="41" t="str">
        <x:v>Windsurf WINDSURF.COM</x:v>
      </x:c>
      <x:c r="D72" s="41" t="str">
        <x:v>QWC8RYCF-0027</x:v>
      </x:c>
      <x:c r="E72" s="42" t="n">
        <x:v>45961</x:v>
      </x:c>
      <x:c r="F72" s="43" t="n">
        <x:v>40</x:v>
      </x:c>
      <x:c r="G72" s="41" t="str">
        <x:v>USD</x:v>
      </x:c>
      <x:c r="H72" s="42" t="n">
        <x:v>45961</x:v>
      </x:c>
      <x:c r="I72" s="44" t="n">
        <x:v>-36.1</x:v>
      </x:c>
      <x:c r="J72" s="41" t="str">
        <x:v>EUR</x:v>
      </x:c>
      <x:c r="K72" s="41" t="str">
        <x:v>review_candidate</x:v>
      </x:c>
      <x:c r="L72" s="41" t="str">
        <x:v>plausible_fx</x:v>
      </x:c>
      <x:c r="M72" s="41" t="n">
        <x:v>0</x:v>
      </x:c>
      <x:c r="N72" s="41" t="str">
        <x:v>Likely FX conversion</x:v>
      </x:c>
      <x:c r="O72" s="41" t="str">
        <x:v>https://drive.google.com/file/d/1dLBGE2OFhTKeCyVMvsm83RPBEF8shG-j/view?usp=drivesdk</x:v>
      </x:c>
      <x:c r="P72" s="41" t="str">
        <x:v>A transaction candidate exists, but the amount or currency evidence is not exact.</x:v>
      </x:c>
      <x:c r="Q72" s="41"/>
    </x:row>
    <x:row r="73">
      <x:c r="A73" s="41" t="str">
        <x:v>CARD_TRANSACTION-3074896417</x:v>
      </x:c>
      <x:c r="B73" s="41" t="str">
        <x:v>windsurf</x:v>
      </x:c>
      <x:c r="C73" s="41" t="str">
        <x:v>Windsurf WINDSURF.COM</x:v>
      </x:c>
      <x:c r="D73" s="41" t="str">
        <x:v>QWC8RYCF-0028</x:v>
      </x:c>
      <x:c r="E73" s="42" t="n">
        <x:v>45962</x:v>
      </x:c>
      <x:c r="F73" s="43" t="n">
        <x:v>40</x:v>
      </x:c>
      <x:c r="G73" s="41" t="str">
        <x:v>USD</x:v>
      </x:c>
      <x:c r="H73" s="42" t="n">
        <x:v>45963</x:v>
      </x:c>
      <x:c r="I73" s="44" t="n">
        <x:v>-36.06</x:v>
      </x:c>
      <x:c r="J73" s="41" t="str">
        <x:v>EUR</x:v>
      </x:c>
      <x:c r="K73" s="41" t="str">
        <x:v>review_candidate</x:v>
      </x:c>
      <x:c r="L73" s="41" t="str">
        <x:v>plausible_fx</x:v>
      </x:c>
      <x:c r="M73" s="41" t="n">
        <x:v>1</x:v>
      </x:c>
      <x:c r="N73" s="41" t="str">
        <x:v>Likely FX conversion</x:v>
      </x:c>
      <x:c r="O73" s="41" t="str">
        <x:v>https://drive.google.com/file/d/1yEJw94Er1IcgG1v__ZCp1_PxOcJ_Kgwh/view?usp=drivesdk</x:v>
      </x:c>
      <x:c r="P73" s="41" t="str">
        <x:v>A transaction candidate exists, but the amount or currency evidence is not exact.</x:v>
      </x:c>
      <x:c r="Q73" s="41"/>
    </x:row>
    <x:row r="74">
      <x:c r="A74" s="41" t="str">
        <x:v>CARD_TRANSACTION-3081552008</x:v>
      </x:c>
      <x:c r="B74" s="41" t="str">
        <x:v>windsurf</x:v>
      </x:c>
      <x:c r="C74" s="41" t="str">
        <x:v>Windsurf WINDSURF.COM</x:v>
      </x:c>
      <x:c r="D74" s="41" t="str">
        <x:v>QWC8RYCF-0030</x:v>
      </x:c>
      <x:c r="E74" s="42" t="n">
        <x:v>45964</x:v>
      </x:c>
      <x:c r="F74" s="43" t="n">
        <x:v>40</x:v>
      </x:c>
      <x:c r="G74" s="41" t="str">
        <x:v>USD</x:v>
      </x:c>
      <x:c r="H74" s="42" t="n">
        <x:v>45965</x:v>
      </x:c>
      <x:c r="I74" s="44" t="n">
        <x:v>-36.11</x:v>
      </x:c>
      <x:c r="J74" s="41" t="str">
        <x:v>EUR</x:v>
      </x:c>
      <x:c r="K74" s="41" t="str">
        <x:v>review_candidate</x:v>
      </x:c>
      <x:c r="L74" s="41" t="str">
        <x:v>plausible_fx</x:v>
      </x:c>
      <x:c r="M74" s="41" t="n">
        <x:v>1</x:v>
      </x:c>
      <x:c r="N74" s="41" t="str">
        <x:v>Likely FX conversion</x:v>
      </x:c>
      <x:c r="O74" s="41" t="str">
        <x:v>https://drive.google.com/file/d/1Sv1c7ErVbwoKQFScvk1Uqmsb2oBEh3bh/view?usp=drivesdk</x:v>
      </x:c>
      <x:c r="P74" s="41" t="str">
        <x:v>A transaction candidate exists, but the amount or currency evidence is not exact.</x:v>
      </x:c>
      <x:c r="Q74" s="41"/>
    </x:row>
    <x:row r="75">
      <x:c r="A75" s="41" t="str">
        <x:v>CARD_TRANSACTION-3090731754</x:v>
      </x:c>
      <x:c r="B75" s="41" t="str">
        <x:v>windsurf</x:v>
      </x:c>
      <x:c r="C75" s="41" t="str">
        <x:v>Windsurf WINDSURF.COM</x:v>
      </x:c>
      <x:c r="D75" s="41" t="str">
        <x:v>QWC8RYCF-0032</x:v>
      </x:c>
      <x:c r="E75" s="42" t="n">
        <x:v>45967</x:v>
      </x:c>
      <x:c r="F75" s="43" t="n">
        <x:v>40</x:v>
      </x:c>
      <x:c r="G75" s="41" t="str">
        <x:v>USD</x:v>
      </x:c>
      <x:c r="H75" s="42" t="n">
        <x:v>45967</x:v>
      </x:c>
      <x:c r="I75" s="44" t="n">
        <x:v>-36.08</x:v>
      </x:c>
      <x:c r="J75" s="41" t="str">
        <x:v>EUR</x:v>
      </x:c>
      <x:c r="K75" s="41" t="str">
        <x:v>review_candidate</x:v>
      </x:c>
      <x:c r="L75" s="41" t="str">
        <x:v>plausible_fx</x:v>
      </x:c>
      <x:c r="M75" s="41" t="n">
        <x:v>0</x:v>
      </x:c>
      <x:c r="N75" s="41" t="str">
        <x:v>Likely FX conversion</x:v>
      </x:c>
      <x:c r="O75" s="41" t="str">
        <x:v>https://drive.google.com/file/d/1MT_vZPQg4vXZyescjC3BmtsDmb1UQks1/view?usp=drivesdk</x:v>
      </x:c>
      <x:c r="P75" s="41" t="str">
        <x:v>A transaction candidate exists, but the amount or currency evidence is not exact.</x:v>
      </x:c>
      <x:c r="Q75" s="41"/>
    </x:row>
    <x:row r="76">
      <x:c r="A76" s="41" t="str">
        <x:v>CARD_TRANSACTION-3134867136</x:v>
      </x:c>
      <x:c r="B76" s="41" t="str">
        <x:v>windsurf</x:v>
      </x:c>
      <x:c r="C76" s="41" t="str">
        <x:v>Windsurf WINDSURF.COM</x:v>
      </x:c>
      <x:c r="D76" s="41" t="str">
        <x:v>QWC8RYCF-0039</x:v>
      </x:c>
      <x:c r="E76" s="42" t="n">
        <x:v>45979</x:v>
      </x:c>
      <x:c r="F76" s="43" t="n">
        <x:v>40</x:v>
      </x:c>
      <x:c r="G76" s="41" t="str">
        <x:v>USD</x:v>
      </x:c>
      <x:c r="H76" s="42" t="n">
        <x:v>45979</x:v>
      </x:c>
      <x:c r="I76" s="44" t="n">
        <x:v>-35.94</x:v>
      </x:c>
      <x:c r="J76" s="41" t="str">
        <x:v>EUR</x:v>
      </x:c>
      <x:c r="K76" s="41" t="str">
        <x:v>review_candidate</x:v>
      </x:c>
      <x:c r="L76" s="41" t="str">
        <x:v>plausible_fx</x:v>
      </x:c>
      <x:c r="M76" s="41" t="n">
        <x:v>0</x:v>
      </x:c>
      <x:c r="N76" s="41" t="str">
        <x:v>Likely FX conversion</x:v>
      </x:c>
      <x:c r="O76" s="41" t="str">
        <x:v>https://drive.google.com/file/d/1fXSZ1OtEkW2fDmvwAoy_WW1KXedcZ0oC/view?usp=drivesdk</x:v>
      </x:c>
      <x:c r="P76" s="41" t="str">
        <x:v>A transaction candidate exists, but the amount or currency evidence is not exact.</x:v>
      </x:c>
      <x:c r="Q76" s="41"/>
    </x:row>
    <x:row r="77">
      <x:c r="A77" s="41" t="str">
        <x:v>CARD_TRANSACTION-3167657780</x:v>
      </x:c>
      <x:c r="B77" s="41" t="str">
        <x:v>windsurf</x:v>
      </x:c>
      <x:c r="C77" s="41" t="str">
        <x:v>Windsurf WINDSURF.COM</x:v>
      </x:c>
      <x:c r="D77" s="41" t="str">
        <x:v>QWC8RYCF-0043</x:v>
      </x:c>
      <x:c r="E77" s="42" t="n">
        <x:v>45988</x:v>
      </x:c>
      <x:c r="F77" s="43" t="n">
        <x:v>40</x:v>
      </x:c>
      <x:c r="G77" s="41" t="str">
        <x:v>USD</x:v>
      </x:c>
      <x:c r="H77" s="42" t="n">
        <x:v>45988</x:v>
      </x:c>
      <x:c r="I77" s="44" t="n">
        <x:v>-35.88</x:v>
      </x:c>
      <x:c r="J77" s="41" t="str">
        <x:v>EUR</x:v>
      </x:c>
      <x:c r="K77" s="41" t="str">
        <x:v>review_candidate</x:v>
      </x:c>
      <x:c r="L77" s="41" t="str">
        <x:v>plausible_fx</x:v>
      </x:c>
      <x:c r="M77" s="41" t="n">
        <x:v>0</x:v>
      </x:c>
      <x:c r="N77" s="41" t="str">
        <x:v>Likely FX conversion</x:v>
      </x:c>
      <x:c r="O77" s="41" t="str">
        <x:v>https://drive.google.com/file/d/1BOqHu5LbtdxtvXRrqEL8_OKeqkJWxosB/view?usp=drivesdk</x:v>
      </x:c>
      <x:c r="P77" s="41" t="str">
        <x:v>A transaction candidate exists, but the amount or currency evidence is not exact.</x:v>
      </x:c>
      <x:c r="Q77" s="41"/>
    </x:row>
    <x:row r="78">
      <x:c r="A78" s="41" t="str">
        <x:v>CARD_TRANSACTION-3206689453</x:v>
      </x:c>
      <x:c r="B78" s="41" t="str">
        <x:v>windsurf</x:v>
      </x:c>
      <x:c r="C78" s="41" t="str">
        <x:v>Windsurf WINDSURF.COM</x:v>
      </x:c>
      <x:c r="D78" s="41" t="str">
        <x:v>QWC8RYCF-0048</x:v>
      </x:c>
      <x:c r="E78" s="42" t="n">
        <x:v>45999</x:v>
      </x:c>
      <x:c r="F78" s="43" t="n">
        <x:v>40</x:v>
      </x:c>
      <x:c r="G78" s="41" t="str">
        <x:v>USD</x:v>
      </x:c>
      <x:c r="H78" s="42" t="n">
        <x:v>45999</x:v>
      </x:c>
      <x:c r="I78" s="44" t="n">
        <x:v>-35.69</x:v>
      </x:c>
      <x:c r="J78" s="41" t="str">
        <x:v>EUR</x:v>
      </x:c>
      <x:c r="K78" s="41" t="str">
        <x:v>review_candidate</x:v>
      </x:c>
      <x:c r="L78" s="41" t="str">
        <x:v>plausible_fx</x:v>
      </x:c>
      <x:c r="M78" s="41" t="n">
        <x:v>0</x:v>
      </x:c>
      <x:c r="N78" s="41" t="str">
        <x:v>Likely FX conversion</x:v>
      </x:c>
      <x:c r="O78" s="41" t="str">
        <x:v>https://drive.google.com/file/d/1HuIB7wSVStsvhBIdlnkG39JshyDMKRTN/view?usp=drivesdk</x:v>
      </x:c>
      <x:c r="P78" s="41" t="str">
        <x:v>A transaction candidate exists, but the amount or currency evidence is not exact.</x:v>
      </x:c>
      <x:c r="Q78" s="41"/>
    </x:row>
    <x:row r="79">
      <x:c r="A79" s="41" t="str">
        <x:v>CARD_TRANSACTION-3285357426</x:v>
      </x:c>
      <x:c r="B79" s="41" t="str">
        <x:v>windsurf</x:v>
      </x:c>
      <x:c r="C79" s="41" t="str">
        <x:v>Windsurf WINDSURF.COM</x:v>
      </x:c>
      <x:c r="D79" s="41" t="str">
        <x:v>QWC8RYCF-0053</x:v>
      </x:c>
      <x:c r="E79" s="42" t="n">
        <x:v>46020</x:v>
      </x:c>
      <x:c r="F79" s="43" t="n">
        <x:v>40</x:v>
      </x:c>
      <x:c r="G79" s="41" t="str">
        <x:v>USD</x:v>
      </x:c>
      <x:c r="H79" s="42" t="n">
        <x:v>46020</x:v>
      </x:c>
      <x:c r="I79" s="44" t="n">
        <x:v>-35.4</x:v>
      </x:c>
      <x:c r="J79" s="41" t="str">
        <x:v>EUR</x:v>
      </x:c>
      <x:c r="K79" s="41" t="str">
        <x:v>review_candidate</x:v>
      </x:c>
      <x:c r="L79" s="41" t="str">
        <x:v>plausible_fx</x:v>
      </x:c>
      <x:c r="M79" s="41" t="n">
        <x:v>0</x:v>
      </x:c>
      <x:c r="N79" s="41" t="str">
        <x:v>Likely FX conversion</x:v>
      </x:c>
      <x:c r="O79" s="41" t="str">
        <x:v>https://drive.google.com/file/d/1C1AN4f5ED1Bw_onjcqYXUjbb5jIZ_GoQ/view?usp=drivesdk</x:v>
      </x:c>
      <x:c r="P79" s="41" t="str">
        <x:v>A transaction candidate exists, but the amount or currency evidence is not exact.</x:v>
      </x:c>
      <x:c r="Q79" s="41"/>
    </x:row>
    <x:row r="80">
      <x:c r="A80" s="41" t="str">
        <x:v>CARD_TRANSACTION-3474200422</x:v>
      </x:c>
      <x:c r="B80" s="41" t="str">
        <x:v>windsurf</x:v>
      </x:c>
      <x:c r="C80" s="41" t="str">
        <x:v>Windsurf AI</x:v>
      </x:c>
      <x:c r="D80" s="41" t="str">
        <x:v>QWC8RYCF-0060</x:v>
      </x:c>
      <x:c r="E80" s="42" t="n">
        <x:v>46072</x:v>
      </x:c>
      <x:c r="F80" s="43" t="n">
        <x:v>40</x:v>
      </x:c>
      <x:c r="G80" s="41" t="str">
        <x:v>USD</x:v>
      </x:c>
      <x:c r="H80" s="42" t="n">
        <x:v>46072</x:v>
      </x:c>
      <x:c r="I80" s="44" t="n">
        <x:v>-35.34</x:v>
      </x:c>
      <x:c r="J80" s="41" t="str">
        <x:v>EUR</x:v>
      </x:c>
      <x:c r="K80" s="41" t="str">
        <x:v>review_candidate</x:v>
      </x:c>
      <x:c r="L80" s="41" t="str">
        <x:v>plausible_fx</x:v>
      </x:c>
      <x:c r="M80" s="41" t="n">
        <x:v>0</x:v>
      </x:c>
      <x:c r="N80" s="41" t="str">
        <x:v>Likely FX conversion</x:v>
      </x:c>
      <x:c r="O80" s="41" t="str">
        <x:v>https://drive.google.com/file/d/1mCgbhzVAeM-3bTTx5l13ORkBWZwhWKhz/view?usp=drivesdk</x:v>
      </x:c>
      <x:c r="P80" s="41" t="str">
        <x:v>A transaction candidate exists, but the amount or currency evidence is not exact.</x:v>
      </x:c>
      <x:c r="Q80" s="41"/>
    </x:row>
  </x:sheetData>
  <x:pageMargins left="0.7" right="0.7" top="0.75" bottom="0.75" header="0.3" footer="0.3"/>
</x:worksheet>
</file>